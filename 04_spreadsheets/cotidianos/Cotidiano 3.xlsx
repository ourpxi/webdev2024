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as" sheetId="1" r:id="rId4"/>
    <sheet state="visible" name="Agencia" sheetId="2" r:id="rId5"/>
    <sheet state="visible" name="Vendedores" sheetId="3" r:id="rId6"/>
  </sheets>
  <definedNames/>
  <calcPr/>
</workbook>
</file>

<file path=xl/sharedStrings.xml><?xml version="1.0" encoding="utf-8"?>
<sst xmlns="http://schemas.openxmlformats.org/spreadsheetml/2006/main" count="155" uniqueCount="83">
  <si>
    <t>Nota 1</t>
  </si>
  <si>
    <t>Nota 2</t>
  </si>
  <si>
    <t>Nota 3</t>
  </si>
  <si>
    <t>Promedio</t>
  </si>
  <si>
    <t>Franco Andrade</t>
  </si>
  <si>
    <t>Tomás Perez</t>
  </si>
  <si>
    <t>Sol Nuñez</t>
  </si>
  <si>
    <t>Marcela Ramirez</t>
  </si>
  <si>
    <t>Martín Rufino</t>
  </si>
  <si>
    <t>Diego Soto</t>
  </si>
  <si>
    <t>Amanda Solís</t>
  </si>
  <si>
    <t>Fecha</t>
  </si>
  <si>
    <t>Pasaporte</t>
  </si>
  <si>
    <t>Destino</t>
  </si>
  <si>
    <t>Aerolinea</t>
  </si>
  <si>
    <t>Precio total</t>
  </si>
  <si>
    <t>Reverva N°</t>
  </si>
  <si>
    <t>Saldo Adeudado</t>
  </si>
  <si>
    <t>La Paz</t>
  </si>
  <si>
    <t>COPA</t>
  </si>
  <si>
    <t>Sao Paulo</t>
  </si>
  <si>
    <t>US Airways</t>
  </si>
  <si>
    <t>Tegucigalpa</t>
  </si>
  <si>
    <t>TACA</t>
  </si>
  <si>
    <t>Panamá</t>
  </si>
  <si>
    <t>СОРА</t>
  </si>
  <si>
    <t>San Salvador</t>
  </si>
  <si>
    <t>American Airlines</t>
  </si>
  <si>
    <t>Quito</t>
  </si>
  <si>
    <t>Buenos Aires</t>
  </si>
  <si>
    <t/>
  </si>
  <si>
    <t>Nombre Vendedor</t>
  </si>
  <si>
    <t>País</t>
  </si>
  <si>
    <t>Ventas en US$</t>
  </si>
  <si>
    <t>Andrea Serna</t>
  </si>
  <si>
    <t>Argentina</t>
  </si>
  <si>
    <t>José Buitrago</t>
  </si>
  <si>
    <t>Bolivia</t>
  </si>
  <si>
    <t>Amanda Victoria</t>
  </si>
  <si>
    <t>Colombia</t>
  </si>
  <si>
    <t>Pablo Bonilla</t>
  </si>
  <si>
    <t>Costa Rica</t>
  </si>
  <si>
    <t>Samuel Villa</t>
  </si>
  <si>
    <t>Cuba</t>
  </si>
  <si>
    <t>Ursula Iguaran</t>
  </si>
  <si>
    <t>Chile</t>
  </si>
  <si>
    <t>Felix Aruda</t>
  </si>
  <si>
    <t>Ecuador</t>
  </si>
  <si>
    <t>Javier Tabora</t>
  </si>
  <si>
    <t>España</t>
  </si>
  <si>
    <t>Susana Lemon</t>
  </si>
  <si>
    <t>Guatemala</t>
  </si>
  <si>
    <t>Robin Ojeda</t>
  </si>
  <si>
    <t>Honduras</t>
  </si>
  <si>
    <t>Michael Zuluaga</t>
  </si>
  <si>
    <t>México</t>
  </si>
  <si>
    <t>Alex Rodriguez</t>
  </si>
  <si>
    <t>Nicaragua</t>
  </si>
  <si>
    <t>Jhon Klinger</t>
  </si>
  <si>
    <t>Angie Luna</t>
  </si>
  <si>
    <t>Paraguay</t>
  </si>
  <si>
    <t>Alberto Dominguez Perú</t>
  </si>
  <si>
    <t>Jeronimo Mendez</t>
  </si>
  <si>
    <t>República Dominicana</t>
  </si>
  <si>
    <t>Alvaro Vika</t>
  </si>
  <si>
    <t>Puerto Rico</t>
  </si>
  <si>
    <t>Alejandra Ortiz</t>
  </si>
  <si>
    <t>El Salvador</t>
  </si>
  <si>
    <t>Sandra Suarez</t>
  </si>
  <si>
    <t>Uruguay</t>
  </si>
  <si>
    <t>Andrés Perez</t>
  </si>
  <si>
    <t>Venezuela</t>
  </si>
  <si>
    <t>Diego Caceres</t>
  </si>
  <si>
    <t>Brasil</t>
  </si>
  <si>
    <t>Manuel Sepulveda</t>
  </si>
  <si>
    <t>Francisco Cespedes</t>
  </si>
  <si>
    <t>Maria Usurriaga</t>
  </si>
  <si>
    <t>Patricia Buendia</t>
  </si>
  <si>
    <t>Daniel Gonzalez</t>
  </si>
  <si>
    <t>Nancy Lopez</t>
  </si>
  <si>
    <t>Oscar Sanchez</t>
  </si>
  <si>
    <t>Deiby Diaz</t>
  </si>
  <si>
    <t>Alberto Gomez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</si>
</sst>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dddd&quot;, &quot;d&quot; de &quot;mmmm&quot; de &quot;yyyy"/>
    <numFmt numFmtId="166" formatCode="[$$]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z val="9.0"/>
      <color theme="1"/>
      <name val="Arial"/>
      <scheme val="minor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horizontal="center" readingOrder="0"/>
    </xf>
    <xf borderId="0" fillId="3" fontId="1" numFmtId="0" xfId="0" applyAlignment="1" applyFont="1">
      <alignment readingOrder="0"/>
    </xf>
    <xf borderId="0" fillId="3" fontId="1" numFmtId="0" xfId="0" applyFont="1"/>
    <xf borderId="0" fillId="3" fontId="3" numFmtId="0" xfId="0" applyAlignment="1" applyFont="1">
      <alignment horizontal="center" readingOrder="0"/>
    </xf>
    <xf borderId="0" fillId="4" fontId="2" numFmtId="164" xfId="0" applyAlignment="1" applyFill="1" applyFont="1" applyNumberFormat="1">
      <alignment readingOrder="0"/>
    </xf>
    <xf borderId="0" fillId="4" fontId="2" numFmtId="0" xfId="0" applyAlignment="1" applyFont="1">
      <alignment readingOrder="0"/>
    </xf>
    <xf borderId="0" fillId="4" fontId="1" numFmtId="0" xfId="0" applyAlignment="1" applyFont="1">
      <alignment readingOrder="0"/>
    </xf>
    <xf borderId="0" fillId="4" fontId="1" numFmtId="0" xfId="0" applyAlignment="1" applyFont="1">
      <alignment horizontal="center" readingOrder="0"/>
    </xf>
    <xf borderId="0" fillId="4" fontId="4" numFmtId="0" xfId="0" applyAlignment="1" applyFont="1">
      <alignment horizontal="center" readingOrder="0"/>
    </xf>
    <xf borderId="0" fillId="4" fontId="4" numFmtId="165" xfId="0" applyAlignment="1" applyFont="1" applyNumberFormat="1">
      <alignment readingOrder="0"/>
    </xf>
    <xf borderId="0" fillId="3" fontId="1" numFmtId="0" xfId="0" applyAlignment="1" applyFont="1">
      <alignment horizontal="center" readingOrder="0"/>
    </xf>
    <xf borderId="0" fillId="3" fontId="3" numFmtId="0" xfId="0" applyAlignment="1" applyFont="1">
      <alignment horizontal="left" readingOrder="0"/>
    </xf>
    <xf borderId="0" fillId="5" fontId="1" numFmtId="0" xfId="0" applyAlignment="1" applyFill="1" applyFont="1">
      <alignment readingOrder="0"/>
    </xf>
    <xf borderId="0" fillId="5" fontId="1" numFmtId="166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3" fontId="1" numFmtId="166" xfId="0" applyAlignment="1" applyFont="1" applyNumberFormat="1">
      <alignment horizontal="right" readingOrder="0"/>
    </xf>
  </cellXfs>
  <cellStyles count="1">
    <cellStyle xfId="0" name="Normal" builtinId="0"/>
  </cellStyles>
  <dxfs count="9">
    <dxf>
      <font>
        <color rgb="FF980000"/>
      </font>
      <fill>
        <patternFill patternType="solid">
          <fgColor rgb="FFE06666"/>
          <bgColor rgb="FFE06666"/>
        </patternFill>
      </fill>
      <border/>
    </dxf>
    <dxf>
      <font>
        <color rgb="FF0000FF"/>
      </font>
      <fill>
        <patternFill patternType="solid">
          <fgColor rgb="FFA4C2F4"/>
          <bgColor rgb="FFA4C2F4"/>
        </patternFill>
      </fill>
      <border/>
    </dxf>
    <dxf>
      <font>
        <color rgb="FF990000"/>
      </font>
      <fill>
        <patternFill patternType="solid">
          <fgColor rgb="FFEA9999"/>
          <bgColor rgb="FFEA9999"/>
        </patternFill>
      </fill>
      <border/>
    </dxf>
    <dxf>
      <font>
        <color rgb="FF073763"/>
      </font>
      <fill>
        <patternFill patternType="solid">
          <fgColor rgb="FFA4C2F4"/>
          <bgColor rgb="FFA4C2F4"/>
        </patternFill>
      </fill>
      <border/>
    </dxf>
    <dxf>
      <font>
        <color rgb="FF6D9EEB"/>
      </font>
      <fill>
        <patternFill patternType="solid">
          <fgColor rgb="FF1C4587"/>
          <bgColor rgb="FF1C4587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Vendedores-style">
      <tableStyleElement dxfId="6" type="headerRow"/>
      <tableStyleElement dxfId="7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2:C31" displayName="Table_1" name="Table_1" id="1">
  <tableColumns count="1">
    <tableColumn name="Column1" id="1"/>
  </tableColumns>
  <tableStyleInfo name="Vendedor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3" t="s">
        <v>3</v>
      </c>
      <c r="F1" s="4"/>
      <c r="G1" s="4"/>
      <c r="H1" s="4"/>
    </row>
    <row r="2">
      <c r="A2" s="5" t="s">
        <v>4</v>
      </c>
      <c r="B2" s="6">
        <v>60.0</v>
      </c>
      <c r="C2" s="6">
        <v>60.0</v>
      </c>
      <c r="D2" s="6">
        <v>50.0</v>
      </c>
      <c r="E2" s="6">
        <f t="shared" ref="E2:E8" si="1">AVERAGE(B2:D2)</f>
        <v>56.66666667</v>
      </c>
      <c r="F2" s="7"/>
      <c r="G2" s="7"/>
      <c r="H2" s="7"/>
    </row>
    <row r="3">
      <c r="A3" s="5" t="s">
        <v>5</v>
      </c>
      <c r="B3" s="6">
        <v>100.0</v>
      </c>
      <c r="C3" s="6">
        <v>90.0</v>
      </c>
      <c r="D3" s="6">
        <v>70.0</v>
      </c>
      <c r="E3" s="6">
        <f t="shared" si="1"/>
        <v>86.66666667</v>
      </c>
      <c r="F3" s="7"/>
      <c r="G3" s="7"/>
      <c r="H3" s="7"/>
    </row>
    <row r="4">
      <c r="A4" s="5" t="s">
        <v>6</v>
      </c>
      <c r="B4" s="6">
        <v>80.0</v>
      </c>
      <c r="C4" s="6">
        <v>85.0</v>
      </c>
      <c r="D4" s="6">
        <v>90.0</v>
      </c>
      <c r="E4" s="6">
        <f t="shared" si="1"/>
        <v>85</v>
      </c>
      <c r="F4" s="7"/>
      <c r="G4" s="7"/>
      <c r="H4" s="7"/>
    </row>
    <row r="5">
      <c r="A5" s="5" t="s">
        <v>7</v>
      </c>
      <c r="B5" s="6">
        <v>70.0</v>
      </c>
      <c r="C5" s="6">
        <v>80.0</v>
      </c>
      <c r="D5" s="6">
        <v>75.0</v>
      </c>
      <c r="E5" s="6">
        <f t="shared" si="1"/>
        <v>75</v>
      </c>
      <c r="F5" s="7"/>
      <c r="G5" s="7"/>
      <c r="H5" s="7"/>
    </row>
    <row r="6">
      <c r="A6" s="5" t="s">
        <v>8</v>
      </c>
      <c r="B6" s="6">
        <v>100.0</v>
      </c>
      <c r="C6" s="6">
        <v>90.0</v>
      </c>
      <c r="D6" s="6">
        <v>100.0</v>
      </c>
      <c r="E6" s="6">
        <f t="shared" si="1"/>
        <v>96.66666667</v>
      </c>
      <c r="F6" s="7"/>
      <c r="G6" s="7"/>
      <c r="H6" s="7"/>
    </row>
    <row r="7">
      <c r="A7" s="5" t="s">
        <v>9</v>
      </c>
      <c r="B7" s="6">
        <v>40.0</v>
      </c>
      <c r="C7" s="6">
        <v>45.0</v>
      </c>
      <c r="D7" s="6">
        <v>50.0</v>
      </c>
      <c r="E7" s="6">
        <f t="shared" si="1"/>
        <v>45</v>
      </c>
      <c r="F7" s="7"/>
      <c r="G7" s="7"/>
      <c r="H7" s="7"/>
    </row>
    <row r="8">
      <c r="A8" s="5" t="s">
        <v>10</v>
      </c>
      <c r="B8" s="6">
        <v>100.0</v>
      </c>
      <c r="C8" s="6">
        <v>100.0</v>
      </c>
      <c r="D8" s="6">
        <v>100.0</v>
      </c>
      <c r="E8" s="6">
        <f t="shared" si="1"/>
        <v>100</v>
      </c>
      <c r="F8" s="7"/>
      <c r="G8" s="7"/>
      <c r="H8" s="7"/>
    </row>
  </sheetData>
  <conditionalFormatting sqref="E2:E8">
    <cfRule type="cellIs" dxfId="0" priority="1" operator="lessThan">
      <formula>70</formula>
    </cfRule>
  </conditionalFormatting>
  <conditionalFormatting sqref="E2:E8">
    <cfRule type="cellIs" dxfId="0" priority="2" operator="lessThan">
      <formula>70</formula>
    </cfRule>
  </conditionalFormatting>
  <conditionalFormatting sqref="E2:E8">
    <cfRule type="cellIs" dxfId="1" priority="3" operator="greaterThanOrEqual">
      <formula>70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/>
      <c r="B1" s="8"/>
      <c r="C1" s="8"/>
      <c r="D1" s="8"/>
      <c r="E1" s="8"/>
      <c r="F1" s="8"/>
      <c r="G1" s="9"/>
    </row>
    <row r="2">
      <c r="A2" s="10" t="s">
        <v>11</v>
      </c>
      <c r="B2" s="11">
        <f>TODAY()</f>
        <v>45416</v>
      </c>
      <c r="D2" s="8"/>
      <c r="E2" s="8"/>
      <c r="F2" s="8"/>
      <c r="G2" s="9"/>
    </row>
    <row r="3">
      <c r="A3" s="8"/>
      <c r="B3" s="8"/>
      <c r="C3" s="8"/>
      <c r="D3" s="8"/>
      <c r="E3" s="8"/>
      <c r="F3" s="8"/>
      <c r="G3" s="9"/>
    </row>
    <row r="4">
      <c r="A4" s="8"/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12" t="s">
        <v>17</v>
      </c>
    </row>
    <row r="5">
      <c r="A5" s="13" t="s">
        <v>4</v>
      </c>
      <c r="B5" s="14">
        <v>1.11234456E8</v>
      </c>
      <c r="C5" s="14" t="s">
        <v>18</v>
      </c>
      <c r="D5" s="14" t="s">
        <v>19</v>
      </c>
      <c r="E5" s="15">
        <v>1539.0</v>
      </c>
      <c r="F5" s="14">
        <v>1000.0</v>
      </c>
      <c r="G5" s="15">
        <f t="shared" ref="G5:G11" si="1">E5-F5</f>
        <v>539</v>
      </c>
    </row>
    <row r="6">
      <c r="A6" s="13" t="s">
        <v>5</v>
      </c>
      <c r="B6" s="14">
        <v>1.11234459E8</v>
      </c>
      <c r="C6" s="14" t="s">
        <v>20</v>
      </c>
      <c r="D6" s="14" t="s">
        <v>21</v>
      </c>
      <c r="E6" s="15">
        <v>1420.0</v>
      </c>
      <c r="F6" s="14">
        <v>460.0</v>
      </c>
      <c r="G6" s="15">
        <f t="shared" si="1"/>
        <v>960</v>
      </c>
    </row>
    <row r="7">
      <c r="A7" s="13" t="s">
        <v>6</v>
      </c>
      <c r="B7" s="14">
        <v>1.11234462E8</v>
      </c>
      <c r="C7" s="14" t="s">
        <v>22</v>
      </c>
      <c r="D7" s="14" t="s">
        <v>23</v>
      </c>
      <c r="E7" s="15">
        <v>830.0</v>
      </c>
      <c r="F7" s="14">
        <v>0.0</v>
      </c>
      <c r="G7" s="15">
        <f t="shared" si="1"/>
        <v>830</v>
      </c>
    </row>
    <row r="8">
      <c r="A8" s="13" t="s">
        <v>7</v>
      </c>
      <c r="B8" s="14">
        <v>1.11234465E8</v>
      </c>
      <c r="C8" s="14" t="s">
        <v>24</v>
      </c>
      <c r="D8" s="14" t="s">
        <v>25</v>
      </c>
      <c r="E8" s="15">
        <v>720.0</v>
      </c>
      <c r="F8" s="14">
        <v>720.0</v>
      </c>
      <c r="G8" s="15">
        <f t="shared" si="1"/>
        <v>0</v>
      </c>
    </row>
    <row r="9">
      <c r="A9" s="13" t="s">
        <v>8</v>
      </c>
      <c r="B9" s="14">
        <v>1.11234468E8</v>
      </c>
      <c r="C9" s="14" t="s">
        <v>26</v>
      </c>
      <c r="D9" s="14" t="s">
        <v>27</v>
      </c>
      <c r="E9" s="15">
        <v>750.0</v>
      </c>
      <c r="F9" s="14">
        <v>500.0</v>
      </c>
      <c r="G9" s="15">
        <f t="shared" si="1"/>
        <v>250</v>
      </c>
    </row>
    <row r="10">
      <c r="A10" s="13" t="s">
        <v>9</v>
      </c>
      <c r="B10" s="14">
        <v>1.11234471E8</v>
      </c>
      <c r="C10" s="14" t="s">
        <v>28</v>
      </c>
      <c r="D10" s="14" t="s">
        <v>23</v>
      </c>
      <c r="E10" s="15">
        <v>1230.0</v>
      </c>
      <c r="F10" s="14">
        <v>1230.0</v>
      </c>
      <c r="G10" s="15">
        <f t="shared" si="1"/>
        <v>0</v>
      </c>
    </row>
    <row r="11">
      <c r="A11" s="13" t="s">
        <v>10</v>
      </c>
      <c r="B11" s="14">
        <v>1.11234474E8</v>
      </c>
      <c r="C11" s="14" t="s">
        <v>29</v>
      </c>
      <c r="D11" s="14" t="s">
        <v>21</v>
      </c>
      <c r="E11" s="15">
        <v>1860.0</v>
      </c>
      <c r="F11" s="14">
        <v>500.0</v>
      </c>
      <c r="G11" s="15">
        <f t="shared" si="1"/>
        <v>1360</v>
      </c>
    </row>
    <row r="12">
      <c r="A12" s="16" t="s">
        <v>30</v>
      </c>
      <c r="B12" s="16" t="s">
        <v>30</v>
      </c>
      <c r="C12" s="16" t="s">
        <v>30</v>
      </c>
      <c r="D12" s="16" t="s">
        <v>30</v>
      </c>
      <c r="E12" s="16" t="s">
        <v>30</v>
      </c>
      <c r="F12" s="16" t="s">
        <v>30</v>
      </c>
    </row>
    <row r="13">
      <c r="A13" s="16" t="s">
        <v>30</v>
      </c>
      <c r="B13" s="16" t="s">
        <v>30</v>
      </c>
      <c r="C13" s="16" t="s">
        <v>30</v>
      </c>
      <c r="D13" s="16" t="s">
        <v>30</v>
      </c>
      <c r="E13" s="16" t="s">
        <v>30</v>
      </c>
      <c r="F13" s="16" t="s">
        <v>30</v>
      </c>
    </row>
    <row r="14">
      <c r="A14" s="16" t="s">
        <v>30</v>
      </c>
      <c r="B14" s="16" t="s">
        <v>30</v>
      </c>
      <c r="C14" s="16" t="s">
        <v>30</v>
      </c>
      <c r="D14" s="16" t="s">
        <v>30</v>
      </c>
      <c r="E14" s="16" t="s">
        <v>30</v>
      </c>
      <c r="F14" s="16" t="s">
        <v>30</v>
      </c>
    </row>
    <row r="15">
      <c r="A15" s="16" t="s">
        <v>30</v>
      </c>
      <c r="C15" s="16" t="s">
        <v>30</v>
      </c>
      <c r="D15" s="16" t="s">
        <v>30</v>
      </c>
      <c r="E15" s="16" t="s">
        <v>30</v>
      </c>
      <c r="F15" s="16" t="s">
        <v>30</v>
      </c>
    </row>
    <row r="16">
      <c r="A16" s="16" t="s">
        <v>30</v>
      </c>
      <c r="B16" s="16" t="s">
        <v>30</v>
      </c>
      <c r="C16" s="16" t="s">
        <v>30</v>
      </c>
      <c r="D16" s="16" t="s">
        <v>30</v>
      </c>
      <c r="E16" s="16" t="s">
        <v>30</v>
      </c>
      <c r="F16" s="16" t="s">
        <v>30</v>
      </c>
    </row>
    <row r="17">
      <c r="F17" s="16"/>
    </row>
    <row r="18">
      <c r="A18" s="16" t="s">
        <v>30</v>
      </c>
      <c r="B18" s="16" t="s">
        <v>30</v>
      </c>
      <c r="C18" s="16" t="s">
        <v>30</v>
      </c>
      <c r="D18" s="16" t="s">
        <v>30</v>
      </c>
      <c r="E18" s="16" t="s">
        <v>30</v>
      </c>
      <c r="F18" s="16" t="s">
        <v>30</v>
      </c>
    </row>
    <row r="19">
      <c r="F19" s="16"/>
    </row>
    <row r="20">
      <c r="A20" s="16" t="s">
        <v>30</v>
      </c>
      <c r="B20" s="16" t="s">
        <v>30</v>
      </c>
      <c r="C20" s="16" t="s">
        <v>30</v>
      </c>
      <c r="D20" s="16" t="s">
        <v>30</v>
      </c>
      <c r="E20" s="16" t="s">
        <v>30</v>
      </c>
      <c r="F20" s="16" t="s">
        <v>30</v>
      </c>
    </row>
    <row r="21">
      <c r="F21" s="16"/>
    </row>
    <row r="22">
      <c r="A22" s="16" t="s">
        <v>30</v>
      </c>
      <c r="B22" s="16" t="s">
        <v>30</v>
      </c>
      <c r="C22" s="16" t="s">
        <v>30</v>
      </c>
      <c r="D22" s="16" t="s">
        <v>30</v>
      </c>
      <c r="E22" s="16" t="s">
        <v>30</v>
      </c>
      <c r="F22" s="16" t="s">
        <v>30</v>
      </c>
    </row>
    <row r="23">
      <c r="F23" s="16"/>
    </row>
    <row r="24">
      <c r="A24" s="16" t="s">
        <v>30</v>
      </c>
      <c r="B24" s="16" t="s">
        <v>30</v>
      </c>
      <c r="C24" s="16" t="s">
        <v>30</v>
      </c>
      <c r="D24" s="16" t="s">
        <v>30</v>
      </c>
      <c r="E24" s="16" t="s">
        <v>30</v>
      </c>
      <c r="F24" s="16" t="s">
        <v>30</v>
      </c>
    </row>
    <row r="25">
      <c r="F25" s="16"/>
    </row>
  </sheetData>
  <mergeCells count="1">
    <mergeCell ref="B2:C2"/>
  </mergeCells>
  <conditionalFormatting sqref="F5:F11">
    <cfRule type="cellIs" dxfId="2" priority="1" operator="equal">
      <formula>0</formula>
    </cfRule>
  </conditionalFormatting>
  <conditionalFormatting sqref="G5:G11">
    <cfRule type="cellIs" dxfId="3" priority="2" operator="equal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31</v>
      </c>
      <c r="B1" s="17" t="s">
        <v>32</v>
      </c>
      <c r="C1" s="17" t="s">
        <v>33</v>
      </c>
    </row>
    <row r="2">
      <c r="A2" s="18" t="s">
        <v>34</v>
      </c>
      <c r="B2" s="18" t="s">
        <v>35</v>
      </c>
      <c r="C2" s="19">
        <v>20000.0</v>
      </c>
    </row>
    <row r="3">
      <c r="A3" s="18" t="s">
        <v>36</v>
      </c>
      <c r="B3" s="18" t="s">
        <v>37</v>
      </c>
      <c r="C3" s="19">
        <v>35000.0</v>
      </c>
    </row>
    <row r="4">
      <c r="A4" s="18" t="s">
        <v>38</v>
      </c>
      <c r="B4" s="18" t="s">
        <v>39</v>
      </c>
      <c r="C4" s="19">
        <v>32500.0</v>
      </c>
    </row>
    <row r="5">
      <c r="A5" s="18" t="s">
        <v>40</v>
      </c>
      <c r="B5" s="18" t="s">
        <v>41</v>
      </c>
      <c r="C5" s="19">
        <v>37000.0</v>
      </c>
    </row>
    <row r="6">
      <c r="A6" s="18" t="s">
        <v>42</v>
      </c>
      <c r="B6" s="18" t="s">
        <v>43</v>
      </c>
      <c r="C6" s="19">
        <v>29000.0</v>
      </c>
    </row>
    <row r="7">
      <c r="A7" s="18" t="s">
        <v>44</v>
      </c>
      <c r="B7" s="18" t="s">
        <v>45</v>
      </c>
      <c r="C7" s="19">
        <v>18100.0</v>
      </c>
    </row>
    <row r="8">
      <c r="A8" s="18" t="s">
        <v>46</v>
      </c>
      <c r="B8" s="18" t="s">
        <v>47</v>
      </c>
      <c r="C8" s="19">
        <v>48900.0</v>
      </c>
    </row>
    <row r="9">
      <c r="A9" s="18" t="s">
        <v>48</v>
      </c>
      <c r="B9" s="18" t="s">
        <v>49</v>
      </c>
      <c r="C9" s="19">
        <v>19200.0</v>
      </c>
    </row>
    <row r="10">
      <c r="A10" s="18" t="s">
        <v>50</v>
      </c>
      <c r="B10" s="18" t="s">
        <v>51</v>
      </c>
      <c r="C10" s="19">
        <v>42000.0</v>
      </c>
    </row>
    <row r="11">
      <c r="A11" s="18" t="s">
        <v>52</v>
      </c>
      <c r="B11" s="18" t="s">
        <v>53</v>
      </c>
      <c r="C11" s="19">
        <v>39000.0</v>
      </c>
    </row>
    <row r="12">
      <c r="A12" s="18" t="s">
        <v>54</v>
      </c>
      <c r="B12" s="18" t="s">
        <v>55</v>
      </c>
      <c r="C12" s="19">
        <v>12000.0</v>
      </c>
    </row>
    <row r="13">
      <c r="A13" s="18" t="s">
        <v>56</v>
      </c>
      <c r="B13" s="18" t="s">
        <v>57</v>
      </c>
      <c r="C13" s="19">
        <v>12000.0</v>
      </c>
    </row>
    <row r="14">
      <c r="A14" s="18" t="s">
        <v>58</v>
      </c>
      <c r="B14" s="18" t="s">
        <v>24</v>
      </c>
      <c r="C14" s="19">
        <v>35000.0</v>
      </c>
    </row>
    <row r="15">
      <c r="A15" s="18" t="s">
        <v>59</v>
      </c>
      <c r="B15" s="18" t="s">
        <v>60</v>
      </c>
      <c r="C15" s="19">
        <v>45000.0</v>
      </c>
    </row>
    <row r="16">
      <c r="A16" s="18" t="s">
        <v>61</v>
      </c>
      <c r="B16" s="18" t="s">
        <v>30</v>
      </c>
      <c r="C16" s="19">
        <v>41000.0</v>
      </c>
    </row>
    <row r="17">
      <c r="A17" s="18" t="s">
        <v>62</v>
      </c>
      <c r="B17" s="18" t="s">
        <v>63</v>
      </c>
      <c r="C17" s="19">
        <v>20000.0</v>
      </c>
    </row>
    <row r="18">
      <c r="A18" s="18" t="s">
        <v>64</v>
      </c>
      <c r="B18" s="18" t="s">
        <v>65</v>
      </c>
      <c r="C18" s="19">
        <v>35000.0</v>
      </c>
    </row>
    <row r="19">
      <c r="A19" s="18" t="s">
        <v>66</v>
      </c>
      <c r="B19" s="18" t="s">
        <v>67</v>
      </c>
      <c r="C19" s="19">
        <v>32500.0</v>
      </c>
    </row>
    <row r="20">
      <c r="A20" s="18" t="s">
        <v>68</v>
      </c>
      <c r="B20" s="18" t="s">
        <v>69</v>
      </c>
      <c r="C20" s="19">
        <v>37000.0</v>
      </c>
    </row>
    <row r="21">
      <c r="A21" s="18" t="s">
        <v>70</v>
      </c>
      <c r="B21" s="18" t="s">
        <v>71</v>
      </c>
      <c r="C21" s="19">
        <v>29000.0</v>
      </c>
    </row>
    <row r="22">
      <c r="A22" s="18" t="s">
        <v>72</v>
      </c>
      <c r="B22" s="18" t="s">
        <v>73</v>
      </c>
      <c r="C22" s="19">
        <v>18100.0</v>
      </c>
    </row>
    <row r="23">
      <c r="A23" s="18" t="s">
        <v>74</v>
      </c>
      <c r="B23" s="18" t="s">
        <v>35</v>
      </c>
      <c r="C23" s="19">
        <v>48900.0</v>
      </c>
    </row>
    <row r="24">
      <c r="A24" s="18" t="s">
        <v>75</v>
      </c>
      <c r="B24" s="18" t="s">
        <v>37</v>
      </c>
      <c r="C24" s="19">
        <v>19200.0</v>
      </c>
    </row>
    <row r="25">
      <c r="A25" s="18" t="s">
        <v>76</v>
      </c>
      <c r="B25" s="18" t="s">
        <v>39</v>
      </c>
      <c r="C25" s="19">
        <v>42000.0</v>
      </c>
    </row>
    <row r="26">
      <c r="A26" s="18" t="s">
        <v>77</v>
      </c>
      <c r="B26" s="18" t="s">
        <v>41</v>
      </c>
      <c r="C26" s="19">
        <v>39000.0</v>
      </c>
    </row>
    <row r="27">
      <c r="A27" s="18" t="s">
        <v>78</v>
      </c>
      <c r="B27" s="18" t="s">
        <v>43</v>
      </c>
      <c r="C27" s="19">
        <v>12000.0</v>
      </c>
    </row>
    <row r="28">
      <c r="A28" s="18" t="s">
        <v>79</v>
      </c>
      <c r="B28" s="18" t="s">
        <v>45</v>
      </c>
      <c r="C28" s="19">
        <v>12000.0</v>
      </c>
    </row>
    <row r="29">
      <c r="A29" s="18" t="s">
        <v>80</v>
      </c>
      <c r="B29" s="18" t="s">
        <v>47</v>
      </c>
      <c r="C29" s="19">
        <v>35000.0</v>
      </c>
    </row>
    <row r="30">
      <c r="A30" s="18" t="s">
        <v>81</v>
      </c>
      <c r="B30" s="18" t="s">
        <v>49</v>
      </c>
      <c r="C30" s="19">
        <v>45000.0</v>
      </c>
    </row>
    <row r="31">
      <c r="A31" s="18" t="s">
        <v>82</v>
      </c>
      <c r="B31" s="18" t="s">
        <v>51</v>
      </c>
      <c r="C31" s="19">
        <v>41000.0</v>
      </c>
    </row>
  </sheetData>
  <conditionalFormatting sqref="C2:C31">
    <cfRule type="cellIs" dxfId="4" priority="1" operator="equal">
      <formula>45000</formula>
    </cfRule>
  </conditionalFormatting>
  <drawing r:id="rId1"/>
  <tableParts count="1">
    <tablePart r:id="rId3"/>
  </tableParts>
</worksheet>
</file>