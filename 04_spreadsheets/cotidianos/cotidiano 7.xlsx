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<sst xmlns="http://schemas.openxmlformats.org/spreadsheetml/2006/main" count="89" uniqueCount="45">
  <si>
    <t>encusta de estilo de musica, estilo de pelicula y nacimiento</t>
  </si>
  <si>
    <t>tipo de musica favorita</t>
  </si>
  <si>
    <t>peliculas favoritas</t>
  </si>
  <si>
    <t>nacimiento(mes)</t>
  </si>
  <si>
    <t>tipo de musica</t>
  </si>
  <si>
    <t>Julian</t>
  </si>
  <si>
    <t>rock</t>
  </si>
  <si>
    <t>terror</t>
  </si>
  <si>
    <t>febrero</t>
  </si>
  <si>
    <t>Roger</t>
  </si>
  <si>
    <t>urbano</t>
  </si>
  <si>
    <t>comedia</t>
  </si>
  <si>
    <t>marzo</t>
  </si>
  <si>
    <t>Randall</t>
  </si>
  <si>
    <t>metal</t>
  </si>
  <si>
    <t>informativa e historica</t>
  </si>
  <si>
    <t>septiembre</t>
  </si>
  <si>
    <t>thommy</t>
  </si>
  <si>
    <t>ciencia ficcion</t>
  </si>
  <si>
    <t>enero</t>
  </si>
  <si>
    <t>rap</t>
  </si>
  <si>
    <t>jose</t>
  </si>
  <si>
    <t>trap</t>
  </si>
  <si>
    <t>Jimena</t>
  </si>
  <si>
    <t>abril</t>
  </si>
  <si>
    <t>jimena</t>
  </si>
  <si>
    <t>diciembre</t>
  </si>
  <si>
    <t>tipos de peliculas</t>
  </si>
  <si>
    <t>stacey</t>
  </si>
  <si>
    <t>daniel</t>
  </si>
  <si>
    <t>junio</t>
  </si>
  <si>
    <t>accion</t>
  </si>
  <si>
    <t>luis diego</t>
  </si>
  <si>
    <t>octubre</t>
  </si>
  <si>
    <t>mariangel</t>
  </si>
  <si>
    <t xml:space="preserve">informativa </t>
  </si>
  <si>
    <t>gabriel</t>
  </si>
  <si>
    <t>julio</t>
  </si>
  <si>
    <t>dereck</t>
  </si>
  <si>
    <t>mayo</t>
  </si>
  <si>
    <t>ismael</t>
  </si>
  <si>
    <t>noviembre</t>
  </si>
  <si>
    <t>mes de nacimiento</t>
  </si>
  <si>
    <t>samira</t>
  </si>
  <si>
    <t>agosto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</si>
</sst>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rgb="FF434343"/>
      <name val="Arial"/>
    </font>
    <font/>
    <font>
      <b/>
      <i/>
      <color theme="1"/>
      <name val="Arial"/>
    </font>
    <font>
      <b/>
      <color theme="1"/>
      <name val="Arial"/>
    </font>
    <font>
      <b/>
      <i/>
      <sz val="9.0"/>
      <color rgb="FF000000"/>
      <name val="Arial"/>
    </font>
    <font>
      <sz val="9.0"/>
      <color rgb="FF000000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4" numFmtId="0" xfId="0" applyAlignment="1" applyBorder="1" applyFill="1" applyFont="1">
      <alignment horizontal="center"/>
    </xf>
    <xf borderId="4" fillId="2" fontId="5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4" fillId="2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5" fontId="4" numFmtId="0" xfId="0" applyAlignment="1" applyBorder="1" applyFill="1" applyFont="1">
      <alignment horizontal="center"/>
    </xf>
    <xf borderId="4" fillId="6" fontId="4" numFmtId="0" xfId="0" applyAlignment="1" applyBorder="1" applyFill="1" applyFont="1">
      <alignment horizontal="center"/>
    </xf>
    <xf borderId="4" fillId="7" fontId="6" numFmtId="0" xfId="0" applyAlignment="1" applyBorder="1" applyFill="1" applyFont="1">
      <alignment horizontal="center"/>
    </xf>
    <xf borderId="0" fillId="7" fontId="7" numFmtId="0" xfId="0" applyAlignment="1" applyFont="1">
      <alignment horizontal="left"/>
    </xf>
    <xf borderId="0" fillId="0" fontId="8" numFmtId="0" xfId="0" applyFont="1"/>
    <xf borderId="4" fillId="8" fontId="4" numFmtId="0" xfId="0" applyAlignment="1" applyBorder="1" applyFill="1" applyFont="1">
      <alignment horizontal="center"/>
    </xf>
    <xf borderId="4" fillId="9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6" width="12.63"/>
    <col customWidth="1" min="9" max="9" width="17.75"/>
  </cols>
  <sheetData>
    <row r="1" ht="15.75" customHeight="1">
      <c r="A1" s="1"/>
      <c r="B1" s="2" t="s">
        <v>0</v>
      </c>
      <c r="C1" s="3"/>
      <c r="D1" s="3"/>
      <c r="E1" s="3"/>
      <c r="F1" s="3"/>
      <c r="G1" s="4"/>
    </row>
    <row r="2" ht="15.75" customHeight="1">
      <c r="A2" s="1"/>
      <c r="B2" s="2" t="s">
        <v>1</v>
      </c>
      <c r="C2" s="4"/>
      <c r="D2" s="2" t="s">
        <v>2</v>
      </c>
      <c r="E2" s="4"/>
      <c r="F2" s="2" t="s">
        <v>3</v>
      </c>
      <c r="G2" s="4"/>
      <c r="H2" s="5"/>
      <c r="I2" s="6" t="s">
        <v>4</v>
      </c>
    </row>
    <row r="3" ht="15.75" customHeight="1">
      <c r="A3" s="7" t="s">
        <v>5</v>
      </c>
      <c r="B3" s="8" t="s">
        <v>6</v>
      </c>
      <c r="C3" s="4"/>
      <c r="D3" s="8" t="s">
        <v>7</v>
      </c>
      <c r="E3" s="4"/>
      <c r="F3" s="8" t="s">
        <v>8</v>
      </c>
      <c r="G3" s="4"/>
      <c r="H3" s="9" t="s">
        <v>6</v>
      </c>
      <c r="I3" s="10">
        <f>COUNTIF(B3:B17,"rock")</f>
        <v>3</v>
      </c>
    </row>
    <row r="4" ht="15.75" customHeight="1">
      <c r="A4" s="11" t="s">
        <v>9</v>
      </c>
      <c r="B4" s="8" t="s">
        <v>10</v>
      </c>
      <c r="C4" s="4"/>
      <c r="D4" s="8" t="s">
        <v>11</v>
      </c>
      <c r="E4" s="4"/>
      <c r="F4" s="8" t="s">
        <v>12</v>
      </c>
      <c r="G4" s="4"/>
      <c r="H4" s="9" t="s">
        <v>10</v>
      </c>
      <c r="I4" s="10">
        <f>COUNTIF(B3:B17,"urbano")</f>
        <v>3</v>
      </c>
    </row>
    <row r="5" ht="15.75" customHeight="1">
      <c r="A5" s="11" t="s">
        <v>13</v>
      </c>
      <c r="B5" s="8" t="s">
        <v>14</v>
      </c>
      <c r="C5" s="4"/>
      <c r="D5" s="8" t="s">
        <v>15</v>
      </c>
      <c r="E5" s="4"/>
      <c r="F5" s="8" t="s">
        <v>16</v>
      </c>
      <c r="G5" s="4"/>
      <c r="H5" s="9" t="s">
        <v>14</v>
      </c>
      <c r="I5" s="10">
        <f>COUNTIF(B3:B17,"metal")</f>
        <v>6</v>
      </c>
    </row>
    <row r="6" ht="15.75" customHeight="1">
      <c r="A6" s="11" t="s">
        <v>17</v>
      </c>
      <c r="B6" s="8" t="s">
        <v>14</v>
      </c>
      <c r="C6" s="4"/>
      <c r="D6" s="8" t="s">
        <v>18</v>
      </c>
      <c r="E6" s="4"/>
      <c r="F6" s="8" t="s">
        <v>19</v>
      </c>
      <c r="G6" s="4"/>
      <c r="H6" s="9" t="s">
        <v>20</v>
      </c>
      <c r="I6" s="10">
        <f>COUNTIF(B3:B17,"rap")</f>
        <v>2</v>
      </c>
    </row>
    <row r="7" ht="15.75" customHeight="1">
      <c r="A7" s="11" t="s">
        <v>21</v>
      </c>
      <c r="B7" s="8" t="s">
        <v>20</v>
      </c>
      <c r="C7" s="4"/>
      <c r="D7" s="8" t="s">
        <v>18</v>
      </c>
      <c r="E7" s="4"/>
      <c r="F7" s="8" t="s">
        <v>8</v>
      </c>
      <c r="G7" s="4"/>
      <c r="H7" s="9" t="s">
        <v>22</v>
      </c>
      <c r="I7" s="10">
        <f>COUNTIF(B3:B17,"trap")</f>
        <v>1</v>
      </c>
    </row>
    <row r="8" ht="15.75" customHeight="1">
      <c r="A8" s="11" t="s">
        <v>23</v>
      </c>
      <c r="B8" s="8" t="s">
        <v>14</v>
      </c>
      <c r="C8" s="4"/>
      <c r="D8" s="8" t="s">
        <v>15</v>
      </c>
      <c r="E8" s="4"/>
      <c r="F8" s="8" t="s">
        <v>24</v>
      </c>
      <c r="G8" s="4"/>
    </row>
    <row r="9" ht="15.75" customHeight="1">
      <c r="A9" s="11" t="s">
        <v>25</v>
      </c>
      <c r="B9" s="8" t="s">
        <v>6</v>
      </c>
      <c r="C9" s="4"/>
      <c r="D9" s="8" t="s">
        <v>18</v>
      </c>
      <c r="E9" s="4"/>
      <c r="F9" s="8" t="s">
        <v>26</v>
      </c>
      <c r="G9" s="4"/>
      <c r="H9" s="12"/>
      <c r="I9" s="13" t="s">
        <v>27</v>
      </c>
    </row>
    <row r="10" ht="15.75" customHeight="1">
      <c r="A10" s="11" t="s">
        <v>28</v>
      </c>
      <c r="B10" s="8" t="s">
        <v>10</v>
      </c>
      <c r="C10" s="4"/>
      <c r="D10" s="8" t="s">
        <v>7</v>
      </c>
      <c r="E10" s="4"/>
      <c r="F10" s="8" t="s">
        <v>16</v>
      </c>
      <c r="G10" s="4"/>
      <c r="H10" s="14" t="s">
        <v>7</v>
      </c>
      <c r="I10" s="15">
        <f>COUNTIF(D3:D17,"terror")</f>
        <v>2</v>
      </c>
      <c r="J10" s="16"/>
    </row>
    <row r="11" ht="15.75" customHeight="1">
      <c r="A11" s="11" t="s">
        <v>29</v>
      </c>
      <c r="B11" s="8" t="s">
        <v>14</v>
      </c>
      <c r="C11" s="4"/>
      <c r="D11" s="8" t="s">
        <v>15</v>
      </c>
      <c r="E11" s="4"/>
      <c r="F11" s="8" t="s">
        <v>30</v>
      </c>
      <c r="G11" s="4"/>
      <c r="H11" s="14" t="s">
        <v>31</v>
      </c>
      <c r="I11" s="15">
        <f>COUNTIF(D3:D17,"accion")</f>
        <v>1</v>
      </c>
    </row>
    <row r="12" ht="15.75" customHeight="1">
      <c r="A12" s="11" t="s">
        <v>32</v>
      </c>
      <c r="B12" s="8" t="s">
        <v>20</v>
      </c>
      <c r="C12" s="4"/>
      <c r="D12" s="8" t="s">
        <v>31</v>
      </c>
      <c r="E12" s="4"/>
      <c r="F12" s="8" t="s">
        <v>33</v>
      </c>
      <c r="G12" s="4"/>
      <c r="H12" s="14" t="s">
        <v>18</v>
      </c>
      <c r="I12" s="10">
        <f>COUNTIF(D3:D17,"ciencia ficcion")</f>
        <v>3</v>
      </c>
    </row>
    <row r="13" ht="15.75" customHeight="1">
      <c r="A13" s="11" t="s">
        <v>34</v>
      </c>
      <c r="B13" s="8" t="s">
        <v>10</v>
      </c>
      <c r="C13" s="4"/>
      <c r="D13" s="8" t="s">
        <v>15</v>
      </c>
      <c r="E13" s="4"/>
      <c r="F13" s="8" t="s">
        <v>33</v>
      </c>
      <c r="G13" s="4"/>
      <c r="H13" s="14" t="s">
        <v>35</v>
      </c>
      <c r="I13" s="10">
        <f>COUNTIF(D3:D17,"informativa e historica")</f>
        <v>8</v>
      </c>
    </row>
    <row r="14" ht="15.75" customHeight="1">
      <c r="A14" s="11" t="s">
        <v>36</v>
      </c>
      <c r="B14" s="8" t="s">
        <v>14</v>
      </c>
      <c r="C14" s="4"/>
      <c r="D14" s="8" t="s">
        <v>15</v>
      </c>
      <c r="E14" s="4"/>
      <c r="F14" s="8" t="s">
        <v>37</v>
      </c>
      <c r="G14" s="4"/>
      <c r="H14" s="14" t="s">
        <v>11</v>
      </c>
      <c r="I14" s="10">
        <f>COUNTIF(D3:D17,"comedia")</f>
        <v>1</v>
      </c>
    </row>
    <row r="15" ht="15.75" customHeight="1">
      <c r="A15" s="11" t="s">
        <v>38</v>
      </c>
      <c r="B15" s="8" t="s">
        <v>6</v>
      </c>
      <c r="C15" s="4"/>
      <c r="D15" s="8" t="s">
        <v>15</v>
      </c>
      <c r="E15" s="4"/>
      <c r="F15" s="8" t="s">
        <v>39</v>
      </c>
      <c r="G15" s="4"/>
      <c r="J15" s="17">
        <f>COUNTIF(F3:F17,"")</f>
        <v>0</v>
      </c>
    </row>
    <row r="16" ht="15.75" customHeight="1">
      <c r="A16" s="11" t="s">
        <v>40</v>
      </c>
      <c r="B16" s="8" t="s">
        <v>22</v>
      </c>
      <c r="C16" s="4"/>
      <c r="D16" s="8" t="s">
        <v>15</v>
      </c>
      <c r="E16" s="4"/>
      <c r="F16" s="8" t="s">
        <v>41</v>
      </c>
      <c r="G16" s="4"/>
      <c r="H16" s="12"/>
      <c r="I16" s="18" t="s">
        <v>42</v>
      </c>
    </row>
    <row r="17" ht="15.75" customHeight="1">
      <c r="A17" s="11" t="s">
        <v>43</v>
      </c>
      <c r="B17" s="8" t="s">
        <v>14</v>
      </c>
      <c r="C17" s="4"/>
      <c r="D17" s="8" t="s">
        <v>15</v>
      </c>
      <c r="E17" s="4"/>
      <c r="F17" s="8" t="s">
        <v>44</v>
      </c>
      <c r="G17" s="4"/>
      <c r="H17" s="19" t="s">
        <v>19</v>
      </c>
      <c r="I17" s="15">
        <f>COUNTIF(F3:F17,"enero")</f>
        <v>1</v>
      </c>
    </row>
    <row r="18" ht="15.75" customHeight="1">
      <c r="B18" s="12"/>
      <c r="C18" s="12"/>
      <c r="D18" s="12"/>
      <c r="E18" s="12"/>
      <c r="F18" s="12"/>
      <c r="G18" s="12"/>
      <c r="H18" s="19" t="s">
        <v>8</v>
      </c>
      <c r="I18" s="15">
        <f>COUNTIF(F3:F17,"febrero")</f>
        <v>2</v>
      </c>
    </row>
    <row r="19" ht="15.75" customHeight="1">
      <c r="B19" s="12"/>
      <c r="C19" s="12"/>
      <c r="D19" s="12"/>
      <c r="E19" s="12"/>
      <c r="F19" s="12"/>
      <c r="G19" s="12"/>
      <c r="H19" s="19" t="s">
        <v>12</v>
      </c>
      <c r="I19" s="10">
        <f>COUNTIF(F3:F17,"marzo")</f>
        <v>1</v>
      </c>
    </row>
    <row r="20" ht="15.75" customHeight="1">
      <c r="B20" s="12"/>
      <c r="C20" s="12"/>
      <c r="D20" s="12"/>
      <c r="E20" s="12"/>
      <c r="F20" s="12"/>
      <c r="G20" s="12"/>
      <c r="H20" s="19" t="s">
        <v>24</v>
      </c>
      <c r="I20" s="10">
        <f>COUNTIF(F3:F17,"abril")</f>
        <v>1</v>
      </c>
    </row>
    <row r="21" ht="15.75" customHeight="1">
      <c r="B21" s="12"/>
      <c r="C21" s="12"/>
      <c r="D21" s="12"/>
      <c r="E21" s="12"/>
      <c r="F21" s="12"/>
      <c r="G21" s="12"/>
      <c r="H21" s="19" t="s">
        <v>39</v>
      </c>
      <c r="I21" s="10">
        <f>COUNTIF(F3:F17,"mayo")</f>
        <v>1</v>
      </c>
    </row>
    <row r="22" ht="15.75" customHeight="1">
      <c r="B22" s="12"/>
      <c r="C22" s="12"/>
      <c r="D22" s="12"/>
      <c r="E22" s="12"/>
      <c r="F22" s="12"/>
      <c r="G22" s="12"/>
      <c r="H22" s="19" t="s">
        <v>30</v>
      </c>
      <c r="I22" s="15">
        <f>COUNTIF(F3:F17,"junio")</f>
        <v>1</v>
      </c>
    </row>
    <row r="23" ht="15.75" customHeight="1">
      <c r="B23" s="12"/>
      <c r="C23" s="12"/>
      <c r="D23" s="12"/>
      <c r="E23" s="12"/>
      <c r="F23" s="12"/>
      <c r="G23" s="12"/>
      <c r="H23" s="19" t="s">
        <v>37</v>
      </c>
      <c r="I23" s="15">
        <f>COUNTIF(F3:F17,"julio")</f>
        <v>1</v>
      </c>
    </row>
    <row r="24" ht="15.75" customHeight="1">
      <c r="B24" s="12"/>
      <c r="C24" s="12"/>
      <c r="D24" s="12"/>
      <c r="E24" s="12"/>
      <c r="F24" s="12"/>
      <c r="G24" s="12"/>
      <c r="H24" s="19" t="s">
        <v>44</v>
      </c>
      <c r="I24" s="10">
        <f>COUNTIF(F3:F17,"agosto")</f>
        <v>1</v>
      </c>
    </row>
    <row r="25" ht="15.75" customHeight="1">
      <c r="B25" s="12"/>
      <c r="C25" s="12"/>
      <c r="D25" s="12"/>
      <c r="E25" s="12"/>
      <c r="F25" s="12"/>
      <c r="G25" s="12"/>
      <c r="H25" s="19" t="s">
        <v>16</v>
      </c>
      <c r="I25" s="10">
        <f>COUNTIF(F3:F17,"septiembre")</f>
        <v>2</v>
      </c>
    </row>
    <row r="26" ht="15.75" customHeight="1">
      <c r="H26" s="19" t="s">
        <v>33</v>
      </c>
      <c r="I26" s="10">
        <f>COUNTIF(F3:F17,"octubre")</f>
        <v>2</v>
      </c>
    </row>
    <row r="27" ht="15.75" customHeight="1">
      <c r="H27" s="19" t="s">
        <v>41</v>
      </c>
      <c r="I27" s="10">
        <f>COUNTIF(F3:F17,"noviembre")</f>
        <v>1</v>
      </c>
    </row>
    <row r="28" ht="15.75" customHeight="1">
      <c r="H28" s="19" t="s">
        <v>26</v>
      </c>
      <c r="I28" s="10">
        <f>COUNTIF(F3:F17,"diciembre")</f>
        <v>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D15:E15"/>
    <mergeCell ref="F15:G15"/>
    <mergeCell ref="B16:C16"/>
    <mergeCell ref="D16:E16"/>
    <mergeCell ref="F16:G16"/>
    <mergeCell ref="B17:C17"/>
    <mergeCell ref="D17:E17"/>
    <mergeCell ref="F17:G17"/>
    <mergeCell ref="B13:C13"/>
    <mergeCell ref="D13:E13"/>
    <mergeCell ref="F13:G13"/>
    <mergeCell ref="B14:C14"/>
    <mergeCell ref="D14:E14"/>
    <mergeCell ref="F14:G14"/>
    <mergeCell ref="B15:C15"/>
    <mergeCell ref="B1:G1"/>
    <mergeCell ref="B2:C2"/>
    <mergeCell ref="D2:E2"/>
    <mergeCell ref="F2:G2"/>
    <mergeCell ref="B3:C3"/>
    <mergeCell ref="D3:E3"/>
    <mergeCell ref="F3:G3"/>
    <mergeCell ref="D6:E6"/>
    <mergeCell ref="F6:G6"/>
    <mergeCell ref="B4:C4"/>
    <mergeCell ref="D4:E4"/>
    <mergeCell ref="F4:G4"/>
    <mergeCell ref="B5:C5"/>
    <mergeCell ref="D5:E5"/>
    <mergeCell ref="F5:G5"/>
    <mergeCell ref="B6:C6"/>
    <mergeCell ref="D9:E9"/>
    <mergeCell ref="F9:G9"/>
    <mergeCell ref="B7:C7"/>
    <mergeCell ref="D7:E7"/>
    <mergeCell ref="F7:G7"/>
    <mergeCell ref="B8:C8"/>
    <mergeCell ref="D8:E8"/>
    <mergeCell ref="F8:G8"/>
    <mergeCell ref="B9:C9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</mergeCells>
  <dataValidations>
    <dataValidation type="list" allowBlank="1" showErrorMessage="1" sqref="F3:F17">
      <formula1>"enero,febrero,marzo,abril,mayo,junio,julio,agosto,septiembre,octubre,noviembre,diciembre"</formula1>
    </dataValidation>
    <dataValidation type="list" allowBlank="1" showErrorMessage="1" sqref="B3:B17">
      <formula1>"metal,rock,urbano,rap,trap"</formula1>
    </dataValidation>
    <dataValidation type="list" allowBlank="1" showErrorMessage="1" sqref="D3:D17">
      <formula1>"terror,ciencia ficcion,accion,informativa e historica,comedia"</formula1>
    </dataValidation>
  </dataValidations>
  <drawing r:id="rId1"/>
</worksheet>
</file>