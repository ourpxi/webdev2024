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<sst xmlns="http://schemas.openxmlformats.org/spreadsheetml/2006/main" count="35" uniqueCount="29">
  <si>
    <t>Nombre</t>
  </si>
  <si>
    <t>Edad</t>
  </si>
  <si>
    <t>Genero</t>
  </si>
  <si>
    <t>grado</t>
  </si>
  <si>
    <t>calificacion</t>
  </si>
  <si>
    <t>resultado</t>
  </si>
  <si>
    <t>Emmanuel Rodrigez</t>
  </si>
  <si>
    <t>m</t>
  </si>
  <si>
    <t>Jonathan Vazquez</t>
  </si>
  <si>
    <t>Cual es la diferencia entre la funcion  Contar y Contara?</t>
  </si>
  <si>
    <t>Habraham Gaytan</t>
  </si>
  <si>
    <t xml:space="preserve">R/ La función CONTARA no cuenta celdas vacías. </t>
  </si>
  <si>
    <t>Paola Linderos</t>
  </si>
  <si>
    <t>f</t>
  </si>
  <si>
    <t xml:space="preserve">Si no necesita contar valores lógicos, texto o valores de error </t>
  </si>
  <si>
    <t>Alejandra Bautista</t>
  </si>
  <si>
    <t xml:space="preserve">(en otras palabras, si desea contar solo las celdas que contienen </t>
  </si>
  <si>
    <t>Adolfo Ferruzca</t>
  </si>
  <si>
    <t>números), use la función CONTAR. Si desea contar solo celdas</t>
  </si>
  <si>
    <t>Rolando Campos</t>
  </si>
  <si>
    <t xml:space="preserve"> que cumplan con determinados criterios, use la función</t>
  </si>
  <si>
    <t>Daniela peña</t>
  </si>
  <si>
    <t xml:space="preserve"> CONTAR.SI o la función CONTAR.</t>
  </si>
  <si>
    <t>Cantidad de hombres</t>
  </si>
  <si>
    <t>Cantidad de mujeres</t>
  </si>
  <si>
    <t>Estudiante nota mas alta</t>
  </si>
  <si>
    <t>Estudiante nota mas baja</t>
  </si>
  <si>
    <t>promedio del grupo</t>
  </si>
  <si>
    <t>cantidad de estudiantes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</si>
</sst>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theme="1"/>
      <name val="Arial"/>
    </font>
    <font>
      <color theme="1"/>
      <name val="Arial"/>
    </font>
    <font/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vertical="top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/>
    </xf>
    <xf borderId="6" fillId="0" fontId="2" numFmtId="0" xfId="0" applyAlignment="1" applyBorder="1" applyFont="1">
      <alignment horizontal="left" readingOrder="0" vertical="top"/>
    </xf>
    <xf borderId="7" fillId="0" fontId="3" numFmtId="0" xfId="0" applyBorder="1" applyFont="1"/>
    <xf borderId="0" fillId="0" fontId="2" numFmtId="0" xfId="0" applyAlignment="1" applyFont="1">
      <alignment vertical="top"/>
    </xf>
    <xf borderId="6" fillId="4" fontId="4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readingOrder="0" vertical="top"/>
    </xf>
    <xf borderId="9" fillId="0" fontId="3" numFmtId="0" xfId="0" applyBorder="1" applyFont="1"/>
    <xf borderId="10" fillId="0" fontId="3" numFmtId="0" xfId="0" applyBorder="1" applyFont="1"/>
    <xf borderId="5" fillId="2" fontId="1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5" width="12.63"/>
    <col customWidth="1" min="6" max="6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2">
        <v>16.0</v>
      </c>
      <c r="C2" s="2" t="s">
        <v>7</v>
      </c>
      <c r="D2" s="2">
        <v>1.0</v>
      </c>
      <c r="E2" s="2">
        <v>90.0</v>
      </c>
      <c r="F2" s="2" t="str">
        <f t="shared" ref="F2:F9" si="1">IF(E2=90,"extraordinario", IF(E2&gt;80,"ordinario", IF(E2&lt;80,"insufiente")))</f>
        <v>extraordinario</v>
      </c>
    </row>
    <row r="3" ht="15.75" customHeight="1">
      <c r="A3" s="1" t="s">
        <v>8</v>
      </c>
      <c r="B3" s="2">
        <v>17.0</v>
      </c>
      <c r="C3" s="2" t="s">
        <v>7</v>
      </c>
      <c r="D3" s="2">
        <v>2.0</v>
      </c>
      <c r="E3" s="2">
        <v>70.0</v>
      </c>
      <c r="F3" s="2" t="str">
        <f t="shared" si="1"/>
        <v>insufiente</v>
      </c>
      <c r="H3" s="3" t="s">
        <v>9</v>
      </c>
      <c r="I3" s="4"/>
      <c r="J3" s="4"/>
      <c r="K3" s="5"/>
    </row>
    <row r="4" ht="15.75" customHeight="1">
      <c r="A4" s="1" t="s">
        <v>10</v>
      </c>
      <c r="B4" s="2">
        <v>20.0</v>
      </c>
      <c r="C4" s="2" t="s">
        <v>7</v>
      </c>
      <c r="D4" s="2">
        <v>3.0</v>
      </c>
      <c r="E4" s="2">
        <v>82.0</v>
      </c>
      <c r="F4" s="6" t="str">
        <f t="shared" si="1"/>
        <v>ordinario</v>
      </c>
      <c r="H4" s="7" t="s">
        <v>11</v>
      </c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" t="s">
        <v>12</v>
      </c>
      <c r="B5" s="2">
        <v>16.0</v>
      </c>
      <c r="C5" s="2" t="s">
        <v>13</v>
      </c>
      <c r="D5" s="2">
        <v>1.0</v>
      </c>
      <c r="E5" s="2">
        <v>89.0</v>
      </c>
      <c r="F5" s="6" t="str">
        <f t="shared" si="1"/>
        <v>ordinario</v>
      </c>
      <c r="H5" s="10" t="s">
        <v>14</v>
      </c>
      <c r="I5" s="11"/>
      <c r="J5" s="11"/>
      <c r="K5" s="12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" t="s">
        <v>15</v>
      </c>
      <c r="B6" s="2">
        <v>20.0</v>
      </c>
      <c r="C6" s="2" t="s">
        <v>13</v>
      </c>
      <c r="D6" s="2">
        <v>3.0</v>
      </c>
      <c r="E6" s="2">
        <v>84.0</v>
      </c>
      <c r="F6" s="6" t="str">
        <f t="shared" si="1"/>
        <v>ordinario</v>
      </c>
      <c r="H6" s="7" t="s">
        <v>16</v>
      </c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" t="s">
        <v>17</v>
      </c>
      <c r="B7" s="2">
        <v>18.0</v>
      </c>
      <c r="C7" s="2" t="s">
        <v>7</v>
      </c>
      <c r="D7" s="2">
        <v>2.0</v>
      </c>
      <c r="E7" s="2">
        <v>77.0</v>
      </c>
      <c r="F7" s="6" t="str">
        <f t="shared" si="1"/>
        <v>insufiente</v>
      </c>
      <c r="H7" s="10" t="s">
        <v>18</v>
      </c>
      <c r="I7" s="11"/>
      <c r="J7" s="11"/>
      <c r="K7" s="12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" t="s">
        <v>19</v>
      </c>
      <c r="B8" s="2">
        <v>18.0</v>
      </c>
      <c r="C8" s="2" t="s">
        <v>7</v>
      </c>
      <c r="D8" s="2">
        <v>3.0</v>
      </c>
      <c r="E8" s="2">
        <v>60.0</v>
      </c>
      <c r="F8" s="6" t="str">
        <f t="shared" si="1"/>
        <v>insufiente</v>
      </c>
      <c r="H8" s="7" t="s">
        <v>20</v>
      </c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" t="s">
        <v>21</v>
      </c>
      <c r="B9" s="2">
        <v>16.0</v>
      </c>
      <c r="C9" s="2" t="s">
        <v>13</v>
      </c>
      <c r="D9" s="2">
        <v>1.0</v>
      </c>
      <c r="E9" s="2">
        <v>74.0</v>
      </c>
      <c r="F9" s="6" t="str">
        <f t="shared" si="1"/>
        <v>insufiente</v>
      </c>
      <c r="H9" s="13" t="s">
        <v>22</v>
      </c>
      <c r="I9" s="14"/>
      <c r="J9" s="14"/>
      <c r="K9" s="15"/>
    </row>
    <row r="10" ht="15.75" customHeight="1">
      <c r="A10" s="16"/>
      <c r="B10" s="17"/>
      <c r="C10" s="17"/>
      <c r="D10" s="17"/>
      <c r="E10" s="17"/>
      <c r="F10" s="18"/>
    </row>
    <row r="11" ht="15.75" customHeight="1">
      <c r="A11" s="1" t="s">
        <v>23</v>
      </c>
      <c r="B11" s="2">
        <f>COUNTIF(C2:C9,"m")</f>
        <v>5</v>
      </c>
      <c r="C11" s="2"/>
      <c r="D11" s="2"/>
      <c r="E11" s="2"/>
      <c r="F11" s="2"/>
    </row>
    <row r="12" ht="15.75" customHeight="1">
      <c r="A12" s="1" t="s">
        <v>24</v>
      </c>
      <c r="B12" s="2">
        <f>COUNTIF(C2:C9,"f")</f>
        <v>3</v>
      </c>
      <c r="C12" s="2"/>
      <c r="D12" s="2"/>
      <c r="E12" s="2"/>
      <c r="F12" s="2"/>
    </row>
    <row r="13" ht="15.75" customHeight="1">
      <c r="A13" s="1" t="s">
        <v>25</v>
      </c>
      <c r="B13" s="2">
        <f>MAX(E2:E9)</f>
        <v>90</v>
      </c>
      <c r="C13" s="2"/>
      <c r="D13" s="2"/>
      <c r="E13" s="2"/>
      <c r="F13" s="2"/>
    </row>
    <row r="14" ht="15.75" customHeight="1">
      <c r="A14" s="1" t="s">
        <v>26</v>
      </c>
      <c r="B14" s="2">
        <f>MIN(E2:E9)</f>
        <v>60</v>
      </c>
      <c r="C14" s="2"/>
      <c r="D14" s="2"/>
      <c r="E14" s="2"/>
      <c r="F14" s="2"/>
    </row>
    <row r="15" ht="15.75" customHeight="1">
      <c r="A15" s="1" t="s">
        <v>27</v>
      </c>
      <c r="B15" s="2">
        <f>AVERAGE(E2:E9)</f>
        <v>78.25</v>
      </c>
      <c r="C15" s="2"/>
      <c r="D15" s="2"/>
      <c r="E15" s="2"/>
      <c r="F15" s="2"/>
    </row>
    <row r="16" ht="15.75" customHeight="1">
      <c r="A16" s="1" t="s">
        <v>28</v>
      </c>
      <c r="B16" s="2">
        <f>COUNTA(A2:A9)</f>
        <v>8</v>
      </c>
      <c r="C16" s="2"/>
      <c r="D16" s="2"/>
      <c r="E16" s="2"/>
      <c r="F16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H3:K3"/>
    <mergeCell ref="A10:F10"/>
    <mergeCell ref="H4:K4"/>
    <mergeCell ref="H6:K6"/>
    <mergeCell ref="H8:K8"/>
    <mergeCell ref="H9:K9"/>
  </mergeCells>
  <conditionalFormatting sqref="F2:F9">
    <cfRule type="cellIs" dxfId="0" priority="1" operator="greaterThanOrEqual">
      <formula>90</formula>
    </cfRule>
  </conditionalFormatting>
  <conditionalFormatting sqref="F2:F9">
    <cfRule type="cellIs" dxfId="0" priority="2" operator="greaterThanOrEqual">
      <formula>90</formula>
    </cfRule>
  </conditionalFormatting>
  <drawing r:id="rId1"/>
</worksheet>
</file>