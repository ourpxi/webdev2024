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4"/>
  </sheets>
  <definedNames/>
  <calcPr/>
</workbook>
</file>

<file path=xl/sharedStrings.xml><?xml version="1.0" encoding="utf-8"?>
<sst xmlns="http://schemas.openxmlformats.org/spreadsheetml/2006/main" count="45" uniqueCount="36">
  <si>
    <t>ID</t>
  </si>
  <si>
    <t>Edad</t>
  </si>
  <si>
    <t>Departamento</t>
  </si>
  <si>
    <t>jornada (horas)</t>
  </si>
  <si>
    <t>Ventas</t>
  </si>
  <si>
    <t>Resultados</t>
  </si>
  <si>
    <t>ID1</t>
  </si>
  <si>
    <t>Dept1</t>
  </si>
  <si>
    <t>Cantidad de departamentos en la lista</t>
  </si>
  <si>
    <t>ID2</t>
  </si>
  <si>
    <t>Dept3</t>
  </si>
  <si>
    <t>Edad promedio de los empleados</t>
  </si>
  <si>
    <t>ID3</t>
  </si>
  <si>
    <t>Jornada promedio de los empleados</t>
  </si>
  <si>
    <t>ID4</t>
  </si>
  <si>
    <t>Dept6</t>
  </si>
  <si>
    <t>Suma de las ventas realizadas</t>
  </si>
  <si>
    <t>ID5</t>
  </si>
  <si>
    <t>Suma de las ventas de los empleados del Departamento3</t>
  </si>
  <si>
    <t>ID6</t>
  </si>
  <si>
    <t>Dept5</t>
  </si>
  <si>
    <t>Suma de las ventas de los empleados del Departamento 4 y 5</t>
  </si>
  <si>
    <t>ID7</t>
  </si>
  <si>
    <t>Media de las ventas de los empleados mayores de 30 años</t>
  </si>
  <si>
    <t>ID8</t>
  </si>
  <si>
    <t>Media de jornada de los empleados que venden mas de 1500</t>
  </si>
  <si>
    <t>ID9</t>
  </si>
  <si>
    <t>Suma de las ventas mayores de 1200</t>
  </si>
  <si>
    <t>ID10</t>
  </si>
  <si>
    <t>ID11</t>
  </si>
  <si>
    <t>ID12</t>
  </si>
  <si>
    <t>ID13</t>
  </si>
  <si>
    <t>Dept4</t>
  </si>
  <si>
    <t>ID14</t>
  </si>
  <si>
    <t>Dept2</t>
  </si>
  <si>
    <t>ID15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</si>
</sst>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4">
    <font>
      <sz val="10.0"/>
      <color rgb="FF000000"/>
      <name val="Arial"/>
      <scheme val="minor"/>
    </font>
    <font>
      <color theme="1"/>
      <name val="Lexend"/>
    </font>
    <font>
      <sz val="9.0"/>
      <color rgb="FF000000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/>
    </xf>
    <xf borderId="0" fillId="3" fontId="1" numFmtId="0" xfId="0" applyAlignment="1" applyFill="1" applyFont="1">
      <alignment horizontal="center" vertical="bottom"/>
    </xf>
    <xf borderId="0" fillId="4" fontId="2" numFmtId="0" xfId="0" applyAlignment="1" applyFill="1" applyFont="1">
      <alignment horizontal="left"/>
    </xf>
    <xf borderId="0" fillId="0" fontId="1" numFmtId="0" xfId="0" applyAlignment="1" applyFont="1">
      <alignment horizontal="center" vertical="bottom"/>
    </xf>
    <xf borderId="0" fillId="5" fontId="1" numFmtId="0" xfId="0" applyAlignment="1" applyFill="1" applyFont="1">
      <alignment horizontal="center" vertical="bottom"/>
    </xf>
    <xf borderId="0" fillId="6" fontId="1" numFmtId="164" xfId="0" applyAlignment="1" applyFill="1" applyFont="1" applyNumberFormat="1">
      <alignment horizontal="center" vertical="bottom"/>
    </xf>
    <xf borderId="0" fillId="4" fontId="1" numFmtId="0" xfId="0" applyAlignment="1" applyFont="1">
      <alignment horizontal="center" vertical="bottom"/>
    </xf>
    <xf borderId="0" fillId="0" fontId="3" numFmtId="0" xfId="0" applyFont="1"/>
    <xf borderId="0" fillId="7" fontId="1" numFmtId="0" xfId="0" applyAlignment="1" applyFill="1" applyFont="1">
      <alignment horizontal="center" vertical="bottom"/>
    </xf>
    <xf borderId="0" fillId="7" fontId="1" numFmtId="164" xfId="0" applyAlignment="1" applyFont="1" applyNumberFormat="1">
      <alignment horizontal="center" vertical="bottom"/>
    </xf>
    <xf borderId="0" fillId="6" fontId="1" numFmtId="164" xfId="0" applyAlignment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vent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6" displayName="Table_1" name="Table_1" id="1">
  <tableColumns count="5">
    <tableColumn name="ID" id="1"/>
    <tableColumn name="Edad" id="2"/>
    <tableColumn name="Departamento" id="3"/>
    <tableColumn name="jornada (horas)" id="4"/>
    <tableColumn name="Ventas" id="5"/>
  </tableColumns>
  <tableStyleInfo name="ven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hidden="1" min="12" max="12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L1" s="4">
        <f>SUMIF(C2:C16,"Dept4",E2:E16)</f>
        <v>1370</v>
      </c>
    </row>
    <row r="2" ht="15.75" customHeight="1">
      <c r="A2" s="5" t="s">
        <v>6</v>
      </c>
      <c r="B2" s="6">
        <v>50.0</v>
      </c>
      <c r="C2" s="5" t="s">
        <v>7</v>
      </c>
      <c r="D2" s="6">
        <v>7.0</v>
      </c>
      <c r="E2" s="7">
        <v>1050.0</v>
      </c>
      <c r="F2" s="2"/>
      <c r="G2" s="8" t="s">
        <v>8</v>
      </c>
      <c r="K2" s="8">
        <v>6.0</v>
      </c>
      <c r="L2" s="9">
        <f>SUMIF(C2:C16,"Dept5",E2:E16)</f>
        <v>2640</v>
      </c>
    </row>
    <row r="3" ht="15.75" customHeight="1">
      <c r="A3" s="5" t="s">
        <v>9</v>
      </c>
      <c r="B3" s="6">
        <v>49.0</v>
      </c>
      <c r="C3" s="5" t="s">
        <v>10</v>
      </c>
      <c r="D3" s="6">
        <v>6.0</v>
      </c>
      <c r="E3" s="7">
        <v>1830.0</v>
      </c>
      <c r="F3" s="2"/>
      <c r="G3" s="10" t="s">
        <v>11</v>
      </c>
      <c r="K3" s="10">
        <f>AVERAGE(B2:B16)</f>
        <v>39.8</v>
      </c>
      <c r="L3" s="9">
        <v>30.0</v>
      </c>
    </row>
    <row r="4" ht="15.75" customHeight="1">
      <c r="A4" s="5" t="s">
        <v>12</v>
      </c>
      <c r="B4" s="6">
        <v>33.0</v>
      </c>
      <c r="C4" s="5" t="s">
        <v>7</v>
      </c>
      <c r="D4" s="6">
        <v>6.0</v>
      </c>
      <c r="E4" s="7">
        <v>1410.0</v>
      </c>
      <c r="F4" s="2"/>
      <c r="G4" s="8" t="s">
        <v>13</v>
      </c>
      <c r="K4" s="8">
        <f>AVERAGE(D2:D16)</f>
        <v>6.6</v>
      </c>
    </row>
    <row r="5" ht="15.75" customHeight="1">
      <c r="A5" s="5" t="s">
        <v>14</v>
      </c>
      <c r="B5" s="6">
        <v>36.0</v>
      </c>
      <c r="C5" s="5" t="s">
        <v>15</v>
      </c>
      <c r="D5" s="6">
        <v>7.0</v>
      </c>
      <c r="E5" s="7">
        <v>1380.0</v>
      </c>
      <c r="F5" s="2"/>
      <c r="G5" s="10" t="s">
        <v>16</v>
      </c>
      <c r="K5" s="11">
        <f>SUM(E2:E16)</f>
        <v>21101</v>
      </c>
    </row>
    <row r="6" ht="15.75" customHeight="1">
      <c r="A6" s="5" t="s">
        <v>17</v>
      </c>
      <c r="B6" s="6">
        <v>31.0</v>
      </c>
      <c r="C6" s="5" t="s">
        <v>15</v>
      </c>
      <c r="D6" s="6">
        <v>5.0</v>
      </c>
      <c r="E6" s="7">
        <v>1040.0</v>
      </c>
      <c r="F6" s="2"/>
      <c r="G6" s="8" t="s">
        <v>18</v>
      </c>
      <c r="K6" s="8">
        <f>SUMIF(C2:C16,"Dept3",E2:E16)</f>
        <v>6800</v>
      </c>
    </row>
    <row r="7" ht="15.75" customHeight="1">
      <c r="A7" s="5" t="s">
        <v>19</v>
      </c>
      <c r="B7" s="6">
        <v>31.0</v>
      </c>
      <c r="C7" s="5" t="s">
        <v>20</v>
      </c>
      <c r="D7" s="6">
        <v>8.0</v>
      </c>
      <c r="E7" s="7">
        <v>1580.0</v>
      </c>
      <c r="F7" s="2"/>
      <c r="G7" s="10" t="s">
        <v>21</v>
      </c>
      <c r="K7" s="10">
        <f>SUM(L1:L2)</f>
        <v>4010</v>
      </c>
    </row>
    <row r="8" ht="15.75" customHeight="1">
      <c r="A8" s="5" t="s">
        <v>22</v>
      </c>
      <c r="B8" s="6">
        <v>45.0</v>
      </c>
      <c r="C8" s="5" t="s">
        <v>10</v>
      </c>
      <c r="D8" s="6">
        <v>8.0</v>
      </c>
      <c r="E8" s="7">
        <v>1870.0</v>
      </c>
      <c r="F8" s="2"/>
      <c r="G8" s="8" t="s">
        <v>23</v>
      </c>
      <c r="K8" s="8">
        <f>AVERAGEIF(B2:B16,"&gt;30")</f>
        <v>39.8</v>
      </c>
    </row>
    <row r="9" ht="15.75" customHeight="1">
      <c r="A9" s="5" t="s">
        <v>24</v>
      </c>
      <c r="B9" s="6">
        <v>48.0</v>
      </c>
      <c r="C9" s="5" t="s">
        <v>15</v>
      </c>
      <c r="D9" s="6">
        <v>8.0</v>
      </c>
      <c r="E9" s="7">
        <v>1440.0</v>
      </c>
      <c r="F9" s="2"/>
      <c r="G9" s="10" t="s">
        <v>25</v>
      </c>
      <c r="K9" s="10">
        <f>AVERAGEIF(E2:E16,"&gt;1.500")</f>
        <v>1730</v>
      </c>
    </row>
    <row r="10" ht="15.75" customHeight="1">
      <c r="A10" s="5" t="s">
        <v>26</v>
      </c>
      <c r="B10" s="6">
        <v>40.0</v>
      </c>
      <c r="C10" s="5" t="s">
        <v>10</v>
      </c>
      <c r="D10" s="6">
        <v>6.0</v>
      </c>
      <c r="E10" s="7">
        <v>1640.0</v>
      </c>
      <c r="F10" s="2"/>
      <c r="G10" s="8" t="s">
        <v>27</v>
      </c>
      <c r="K10" s="8">
        <f>SUMIF(E2:E16,"&gt;1.200")</f>
        <v>16861</v>
      </c>
    </row>
    <row r="11" ht="15.75" customHeight="1">
      <c r="A11" s="5" t="s">
        <v>28</v>
      </c>
      <c r="B11" s="6">
        <v>38.0</v>
      </c>
      <c r="C11" s="5" t="s">
        <v>20</v>
      </c>
      <c r="D11" s="6">
        <v>5.0</v>
      </c>
      <c r="E11" s="12">
        <v>1060.0</v>
      </c>
      <c r="F11" s="2"/>
      <c r="G11" s="2"/>
      <c r="H11" s="2"/>
      <c r="I11" s="2"/>
      <c r="J11" s="2"/>
      <c r="K11" s="2"/>
    </row>
    <row r="12" ht="15.75" customHeight="1">
      <c r="A12" s="5" t="s">
        <v>29</v>
      </c>
      <c r="B12" s="6">
        <v>45.0</v>
      </c>
      <c r="C12" s="5" t="s">
        <v>7</v>
      </c>
      <c r="D12" s="6">
        <v>6.0</v>
      </c>
      <c r="E12" s="7">
        <v>1090.0</v>
      </c>
      <c r="F12" s="2"/>
      <c r="G12" s="2"/>
      <c r="H12" s="2"/>
      <c r="I12" s="2"/>
      <c r="J12" s="2"/>
      <c r="K12" s="2"/>
    </row>
    <row r="13" ht="15.75" customHeight="1">
      <c r="A13" s="5" t="s">
        <v>30</v>
      </c>
      <c r="B13" s="6">
        <v>33.0</v>
      </c>
      <c r="C13" s="5" t="s">
        <v>10</v>
      </c>
      <c r="D13" s="6">
        <v>8.0</v>
      </c>
      <c r="E13" s="7">
        <v>1460.0</v>
      </c>
      <c r="F13" s="2"/>
      <c r="G13" s="2"/>
      <c r="H13" s="2"/>
      <c r="I13" s="2"/>
      <c r="J13" s="2"/>
      <c r="K13" s="2"/>
    </row>
    <row r="14" ht="15.75" customHeight="1">
      <c r="A14" s="5" t="s">
        <v>31</v>
      </c>
      <c r="B14" s="6">
        <v>42.0</v>
      </c>
      <c r="C14" s="5" t="s">
        <v>32</v>
      </c>
      <c r="D14" s="6">
        <v>8.0</v>
      </c>
      <c r="E14" s="7">
        <v>1370.0</v>
      </c>
      <c r="F14" s="2"/>
      <c r="G14" s="2"/>
      <c r="H14" s="2"/>
      <c r="I14" s="2"/>
      <c r="J14" s="2"/>
      <c r="K14" s="2"/>
    </row>
    <row r="15" ht="15.75" customHeight="1">
      <c r="A15" s="5" t="s">
        <v>33</v>
      </c>
      <c r="B15" s="6">
        <v>42.0</v>
      </c>
      <c r="C15" s="5" t="s">
        <v>34</v>
      </c>
      <c r="D15" s="6">
        <v>5.0</v>
      </c>
      <c r="E15" s="7">
        <v>1440.0</v>
      </c>
      <c r="F15" s="2"/>
      <c r="G15" s="2"/>
      <c r="H15" s="2"/>
      <c r="I15" s="2"/>
      <c r="J15" s="2"/>
      <c r="K15" s="2"/>
    </row>
    <row r="16" ht="15.75" customHeight="1">
      <c r="A16" s="5" t="s">
        <v>35</v>
      </c>
      <c r="B16" s="6">
        <v>34.0</v>
      </c>
      <c r="C16" s="5" t="s">
        <v>7</v>
      </c>
      <c r="D16" s="6">
        <v>6.0</v>
      </c>
      <c r="E16" s="7">
        <v>1441.0</v>
      </c>
      <c r="F16" s="2"/>
      <c r="G16" s="2"/>
      <c r="H16" s="2"/>
      <c r="I16" s="2"/>
      <c r="J16" s="2"/>
      <c r="K16" s="2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8:J8"/>
    <mergeCell ref="G9:J9"/>
    <mergeCell ref="G10:J10"/>
    <mergeCell ref="G1:K1"/>
    <mergeCell ref="G2:J2"/>
    <mergeCell ref="G3:J3"/>
    <mergeCell ref="G4:J4"/>
    <mergeCell ref="G5:J5"/>
    <mergeCell ref="G6:J6"/>
    <mergeCell ref="G7:J7"/>
  </mergeCells>
  <drawing r:id="rId1"/>
  <tableParts count="1">
    <tablePart r:id="rId3"/>
  </tableParts>
</worksheet>
</file>