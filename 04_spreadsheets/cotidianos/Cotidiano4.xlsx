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cas" sheetId="1" r:id="rId4"/>
    <sheet state="visible" name="Marcador" sheetId="2" r:id="rId5"/>
  </sheets>
  <definedNames/>
  <calcPr/>
</workbook>
</file>

<file path=xl/sharedStrings.xml><?xml version="1.0" encoding="utf-8"?>
<sst xmlns="http://schemas.openxmlformats.org/spreadsheetml/2006/main" count="38" uniqueCount="29">
  <si>
    <t>Alumnos</t>
  </si>
  <si>
    <t>Calificación</t>
  </si>
  <si>
    <t>Beca</t>
  </si>
  <si>
    <t>Alejandro Fallas</t>
  </si>
  <si>
    <t>Arianna Ortiz</t>
  </si>
  <si>
    <t>Claudia Lopez</t>
  </si>
  <si>
    <t>Deyanira Sequieira</t>
  </si>
  <si>
    <t>Leticia Muñoz</t>
  </si>
  <si>
    <t>Ramón Chavez</t>
  </si>
  <si>
    <t>Ricardo Aguilar</t>
  </si>
  <si>
    <t>Equipo Local</t>
  </si>
  <si>
    <t>Marcador</t>
  </si>
  <si>
    <t>Equipo visitante</t>
  </si>
  <si>
    <t>Resultado</t>
  </si>
  <si>
    <t>Cinco estrellas</t>
  </si>
  <si>
    <t>Triple A</t>
  </si>
  <si>
    <t>Roquemis</t>
  </si>
  <si>
    <t>Municipales</t>
  </si>
  <si>
    <t>Roquemis Ganador</t>
  </si>
  <si>
    <t>Triple A Ganador</t>
  </si>
  <si>
    <t>Empaletados</t>
  </si>
  <si>
    <t>La Mundial</t>
  </si>
  <si>
    <t>Empate</t>
  </si>
  <si>
    <t>Bandera Azul</t>
  </si>
  <si>
    <t>Goleadores del Sur</t>
  </si>
  <si>
    <t>Goleadores del Sur ganador</t>
  </si>
  <si>
    <t>Cinco Estrellas</t>
  </si>
  <si>
    <t>La Mundial Ganador</t>
  </si>
  <si>
    <t>Bandera Azul ganador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</si>
</sst>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3">
    <border/>
    <border>
      <left/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2" fontId="1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3" fontId="2" numFmtId="0" xfId="0" applyAlignment="1" applyBorder="1" applyFill="1" applyFont="1">
      <alignment shrinkToFit="0" vertical="bottom" wrapText="0"/>
    </xf>
    <xf borderId="2" fillId="4" fontId="1" numFmtId="0" xfId="0" applyAlignment="1" applyBorder="1" applyFill="1" applyFont="1">
      <alignment horizontal="center" shrinkToFit="0" vertical="bottom" wrapText="0"/>
    </xf>
    <xf borderId="2" fillId="5" fontId="1" numFmtId="0" xfId="0" applyAlignment="1" applyBorder="1" applyFill="1" applyFont="1">
      <alignment shrinkToFit="0" vertical="bottom" wrapText="0"/>
    </xf>
    <xf borderId="2" fillId="6" fontId="1" numFmtId="0" xfId="0" applyAlignment="1" applyBorder="1" applyFill="1" applyFont="1">
      <alignment horizontal="center" shrinkToFit="0" vertical="bottom" wrapText="0"/>
    </xf>
    <xf borderId="2" fillId="4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6" width="11.5"/>
    <col customWidth="1" min="7" max="26" width="8.0"/>
  </cols>
  <sheetData>
    <row r="1" ht="12.75" customHeight="1">
      <c r="A1" s="1" t="s">
        <v>0</v>
      </c>
      <c r="B1" s="2" t="s">
        <v>1</v>
      </c>
      <c r="C1" s="2" t="s">
        <v>2</v>
      </c>
    </row>
    <row r="2" ht="12.75" customHeight="1">
      <c r="A2" s="3" t="s">
        <v>3</v>
      </c>
      <c r="B2" s="4">
        <v>75.0</v>
      </c>
      <c r="C2" s="4">
        <f t="shared" ref="C2:C8" si="1">IF(B2&gt;=95,100000,IF(B2&gt;=85,100000*80/100,IF(B2&gt;=80,100000*40/100,IF(B2&lt;80,0))))</f>
        <v>0</v>
      </c>
    </row>
    <row r="3" ht="12.75" customHeight="1">
      <c r="A3" s="3" t="s">
        <v>4</v>
      </c>
      <c r="B3" s="4">
        <v>85.0</v>
      </c>
      <c r="C3" s="4">
        <f t="shared" si="1"/>
        <v>80000</v>
      </c>
    </row>
    <row r="4" ht="12.75" customHeight="1">
      <c r="A4" s="3" t="s">
        <v>5</v>
      </c>
      <c r="B4" s="4">
        <v>90.0</v>
      </c>
      <c r="C4" s="4">
        <f t="shared" si="1"/>
        <v>80000</v>
      </c>
    </row>
    <row r="5" ht="12.75" customHeight="1">
      <c r="A5" s="3" t="s">
        <v>6</v>
      </c>
      <c r="B5" s="4">
        <v>95.0</v>
      </c>
      <c r="C5" s="4">
        <f t="shared" si="1"/>
        <v>100000</v>
      </c>
    </row>
    <row r="6" ht="12.75" customHeight="1">
      <c r="A6" s="3" t="s">
        <v>7</v>
      </c>
      <c r="B6" s="4">
        <v>80.0</v>
      </c>
      <c r="C6" s="4">
        <f t="shared" si="1"/>
        <v>40000</v>
      </c>
    </row>
    <row r="7" ht="12.75" customHeight="1">
      <c r="A7" s="3" t="s">
        <v>8</v>
      </c>
      <c r="B7" s="4">
        <v>70.0</v>
      </c>
      <c r="C7" s="4">
        <f t="shared" si="1"/>
        <v>0</v>
      </c>
    </row>
    <row r="8" ht="12.75" customHeight="1">
      <c r="A8" s="3" t="s">
        <v>9</v>
      </c>
      <c r="B8" s="4">
        <v>60.0</v>
      </c>
      <c r="C8" s="4">
        <f t="shared" si="1"/>
        <v>0</v>
      </c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5.38"/>
    <col customWidth="1" min="3" max="3" width="20.88"/>
    <col customWidth="1" min="4" max="4" width="13.75"/>
    <col customWidth="1" min="5" max="5" width="25.63"/>
    <col customWidth="1" min="6" max="6" width="11.5"/>
    <col customWidth="1" min="7" max="26" width="8.0"/>
  </cols>
  <sheetData>
    <row r="1" ht="12.75" customHeight="1">
      <c r="A1" s="5" t="s">
        <v>10</v>
      </c>
      <c r="B1" s="5" t="s">
        <v>11</v>
      </c>
      <c r="C1" s="5" t="s">
        <v>12</v>
      </c>
      <c r="D1" s="5" t="s">
        <v>11</v>
      </c>
      <c r="E1" s="5" t="s">
        <v>13</v>
      </c>
    </row>
    <row r="2" ht="12.75" customHeight="1">
      <c r="A2" s="6" t="s">
        <v>14</v>
      </c>
      <c r="B2" s="7">
        <v>1.0</v>
      </c>
      <c r="C2" s="8" t="s">
        <v>15</v>
      </c>
      <c r="D2" s="7">
        <v>2.0</v>
      </c>
      <c r="E2" s="8" t="str">
        <f>IF(B2&gt;D2,A2&amp;"Ganador",IF(D2&gt;B2,C2&amp;"ganador",IF(B2=D2,"empate")))</f>
        <v>Triple Aganador</v>
      </c>
    </row>
    <row r="3" ht="12.75" customHeight="1">
      <c r="A3" s="6" t="s">
        <v>16</v>
      </c>
      <c r="B3" s="7">
        <v>5.0</v>
      </c>
      <c r="C3" s="8" t="s">
        <v>17</v>
      </c>
      <c r="D3" s="7">
        <v>1.0</v>
      </c>
      <c r="E3" s="8" t="s">
        <v>18</v>
      </c>
    </row>
    <row r="4" ht="12.75" customHeight="1">
      <c r="A4" s="6" t="s">
        <v>15</v>
      </c>
      <c r="B4" s="7">
        <v>3.0</v>
      </c>
      <c r="C4" s="8" t="s">
        <v>16</v>
      </c>
      <c r="D4" s="7">
        <v>0.0</v>
      </c>
      <c r="E4" s="8" t="s">
        <v>19</v>
      </c>
    </row>
    <row r="5" ht="12.75" customHeight="1">
      <c r="A5" s="6" t="s">
        <v>20</v>
      </c>
      <c r="B5" s="7">
        <v>0.0</v>
      </c>
      <c r="C5" s="8" t="s">
        <v>21</v>
      </c>
      <c r="D5" s="7">
        <v>0.0</v>
      </c>
      <c r="E5" s="8" t="s">
        <v>22</v>
      </c>
    </row>
    <row r="6" ht="12.75" customHeight="1">
      <c r="A6" s="6" t="s">
        <v>23</v>
      </c>
      <c r="B6" s="7">
        <v>2.0</v>
      </c>
      <c r="C6" s="8" t="s">
        <v>24</v>
      </c>
      <c r="D6" s="7">
        <v>3.0</v>
      </c>
      <c r="E6" s="8" t="s">
        <v>25</v>
      </c>
    </row>
    <row r="7" ht="12.75" customHeight="1">
      <c r="A7" s="6" t="s">
        <v>24</v>
      </c>
      <c r="B7" s="7">
        <v>0.0</v>
      </c>
      <c r="C7" s="8" t="s">
        <v>20</v>
      </c>
      <c r="D7" s="7">
        <v>0.0</v>
      </c>
      <c r="E7" s="8" t="s">
        <v>22</v>
      </c>
    </row>
    <row r="8" ht="12.75" customHeight="1">
      <c r="A8" s="6" t="s">
        <v>21</v>
      </c>
      <c r="B8" s="7">
        <v>3.0</v>
      </c>
      <c r="C8" s="8" t="s">
        <v>26</v>
      </c>
      <c r="D8" s="7">
        <v>1.0</v>
      </c>
      <c r="E8" s="8" t="s">
        <v>27</v>
      </c>
    </row>
    <row r="9" ht="12.75" customHeight="1">
      <c r="A9" s="6" t="s">
        <v>17</v>
      </c>
      <c r="B9" s="7">
        <v>0.0</v>
      </c>
      <c r="C9" s="8" t="s">
        <v>23</v>
      </c>
      <c r="D9" s="7">
        <v>2.0</v>
      </c>
      <c r="E9" s="8" t="s">
        <v>28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