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<sst xmlns="http://schemas.openxmlformats.org/spreadsheetml/2006/main" count="18" uniqueCount="16">
  <si>
    <t>Factura Tienda StreamNow!</t>
  </si>
  <si>
    <t>Precios</t>
  </si>
  <si>
    <t>Articulo</t>
  </si>
  <si>
    <t>Precio</t>
  </si>
  <si>
    <t>Cantidad</t>
  </si>
  <si>
    <t>SubTotal</t>
  </si>
  <si>
    <t>Impresora</t>
  </si>
  <si>
    <t>Teclado</t>
  </si>
  <si>
    <t>Monitor</t>
  </si>
  <si>
    <t>Mouse</t>
  </si>
  <si>
    <t>Fecha</t>
  </si>
  <si>
    <t>Bruto</t>
  </si>
  <si>
    <t>IVA</t>
  </si>
  <si>
    <t>Total a pagar</t>
  </si>
  <si>
    <t>Tipo IVA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</si>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</sst>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₡]#,##0.0"/>
    <numFmt numFmtId="165" formatCode="[$₡]#,##0.00"/>
  </numFmts>
  <fonts count="6">
    <font>
      <sz val="10.0"/>
      <color rgb="FF000000"/>
      <name val="Arial"/>
      <scheme val="minor"/>
    </font>
    <font>
      <b/>
      <i/>
      <sz val="16.0"/>
      <color theme="1"/>
      <name val="Arial"/>
      <scheme val="minor"/>
    </font>
    <font/>
    <font>
      <color theme="1"/>
      <name val="Arial"/>
      <scheme val="minor"/>
    </font>
    <font>
      <b/>
      <i/>
      <sz val="11.0"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EA4335"/>
      </top>
      <bottom style="thin">
        <color rgb="FF000000"/>
      </bottom>
    </border>
    <border>
      <top style="thin">
        <color rgb="FFEA4335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0" fontId="3" numFmtId="0" xfId="0" applyBorder="1" applyFont="1"/>
    <xf borderId="0" fillId="0" fontId="3" numFmtId="0" xfId="0" applyAlignment="1" applyFont="1">
      <alignment horizontal="center" readingOrder="0"/>
    </xf>
    <xf borderId="7" fillId="3" fontId="4" numFmtId="0" xfId="0" applyAlignment="1" applyBorder="1" applyFill="1" applyFont="1">
      <alignment horizontal="center" readingOrder="0"/>
    </xf>
    <xf borderId="8" fillId="0" fontId="2" numFmtId="0" xfId="0" applyBorder="1" applyFont="1"/>
    <xf borderId="9" fillId="3" fontId="4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7" fillId="4" fontId="3" numFmtId="0" xfId="0" applyAlignment="1" applyBorder="1" applyFill="1" applyFont="1">
      <alignment readingOrder="0"/>
    </xf>
    <xf borderId="7" fillId="4" fontId="3" numFmtId="164" xfId="0" applyBorder="1" applyFont="1" applyNumberFormat="1"/>
    <xf borderId="9" fillId="4" fontId="3" numFmtId="0" xfId="0" applyAlignment="1" applyBorder="1" applyFont="1">
      <alignment readingOrder="0"/>
    </xf>
    <xf borderId="9" fillId="4" fontId="3" numFmtId="164" xfId="0" applyBorder="1" applyFont="1" applyNumberFormat="1"/>
    <xf borderId="7" fillId="4" fontId="3" numFmtId="0" xfId="0" applyBorder="1" applyFont="1"/>
    <xf borderId="7" fillId="0" fontId="3" numFmtId="0" xfId="0" applyBorder="1" applyFont="1"/>
    <xf borderId="10" fillId="0" fontId="2" numFmtId="0" xfId="0" applyBorder="1" applyFont="1"/>
    <xf borderId="7" fillId="3" fontId="5" numFmtId="0" xfId="0" applyAlignment="1" applyBorder="1" applyFont="1">
      <alignment horizontal="center" readingOrder="0"/>
    </xf>
    <xf borderId="9" fillId="3" fontId="5" numFmtId="0" xfId="0" applyAlignment="1" applyBorder="1" applyFont="1">
      <alignment horizontal="center" readingOrder="0"/>
    </xf>
    <xf borderId="7" fillId="4" fontId="3" numFmtId="14" xfId="0" applyAlignment="1" applyBorder="1" applyFont="1" applyNumberFormat="1">
      <alignment horizontal="center"/>
    </xf>
    <xf borderId="7" fillId="4" fontId="3" numFmtId="165" xfId="0" applyBorder="1" applyFont="1" applyNumberFormat="1"/>
    <xf borderId="9" fillId="4" fontId="3" numFmtId="165" xfId="0" applyBorder="1" applyFont="1" applyNumberFormat="1"/>
    <xf borderId="11" fillId="0" fontId="3" numFmtId="0" xfId="0" applyBorder="1" applyFont="1"/>
    <xf borderId="12" fillId="0" fontId="2" numFmtId="0" xfId="0" applyBorder="1" applyFont="1"/>
    <xf borderId="11" fillId="3" fontId="5" numFmtId="0" xfId="0" applyAlignment="1" applyBorder="1" applyFont="1">
      <alignment horizontal="center" readingOrder="0"/>
    </xf>
    <xf borderId="0" fillId="0" fontId="3" numFmtId="0" xfId="0" applyFont="1"/>
    <xf borderId="13" fillId="5" fontId="5" numFmtId="0" xfId="0" applyAlignment="1" applyBorder="1" applyFill="1" applyFont="1">
      <alignment horizontal="center" readingOrder="0"/>
    </xf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2"/>
      <c r="E2" s="2"/>
      <c r="F2" s="2"/>
      <c r="G2" s="3"/>
    </row>
    <row r="3">
      <c r="B3" s="4"/>
      <c r="C3" s="5"/>
      <c r="D3" s="5"/>
      <c r="E3" s="5"/>
      <c r="F3" s="5"/>
      <c r="G3" s="6"/>
    </row>
    <row r="4">
      <c r="B4" s="7"/>
      <c r="C4" s="2"/>
      <c r="D4" s="2"/>
      <c r="E4" s="2"/>
      <c r="F4" s="2"/>
      <c r="G4" s="3"/>
      <c r="J4" s="8" t="s">
        <v>1</v>
      </c>
    </row>
    <row r="5">
      <c r="B5" s="9" t="s">
        <v>2</v>
      </c>
      <c r="C5" s="10"/>
      <c r="D5" s="9" t="s">
        <v>3</v>
      </c>
      <c r="E5" s="10"/>
      <c r="F5" s="11" t="s">
        <v>4</v>
      </c>
      <c r="G5" s="11" t="s">
        <v>5</v>
      </c>
      <c r="J5" s="12" t="s">
        <v>6</v>
      </c>
      <c r="K5" s="13">
        <v>120000.0</v>
      </c>
    </row>
    <row r="6">
      <c r="B6" s="14" t="s">
        <v>6</v>
      </c>
      <c r="C6" s="10"/>
      <c r="D6" s="15">
        <f t="shared" ref="D6:D9" si="1">IF(B6=$J$5,$K$5,IF(B6=$J$6,$K$6,IF(B6=$J$7,$K$7,IF(B6=$J$8,$K$8,0))))</f>
        <v>120000</v>
      </c>
      <c r="E6" s="10"/>
      <c r="F6" s="16">
        <v>1.0</v>
      </c>
      <c r="G6" s="17">
        <f t="shared" ref="G6:G9" si="2">D6*F6</f>
        <v>120000</v>
      </c>
      <c r="J6" s="12" t="s">
        <v>7</v>
      </c>
      <c r="K6" s="13">
        <v>52000.0</v>
      </c>
    </row>
    <row r="7">
      <c r="B7" s="14" t="s">
        <v>7</v>
      </c>
      <c r="C7" s="10"/>
      <c r="D7" s="15">
        <f t="shared" si="1"/>
        <v>52000</v>
      </c>
      <c r="E7" s="10"/>
      <c r="F7" s="16">
        <v>1.0</v>
      </c>
      <c r="G7" s="17">
        <f t="shared" si="2"/>
        <v>52000</v>
      </c>
      <c r="J7" s="12" t="s">
        <v>8</v>
      </c>
      <c r="K7" s="13">
        <v>95000.0</v>
      </c>
    </row>
    <row r="8">
      <c r="B8" s="18"/>
      <c r="C8" s="10"/>
      <c r="D8" s="15">
        <f t="shared" si="1"/>
        <v>0</v>
      </c>
      <c r="E8" s="10"/>
      <c r="F8" s="16">
        <v>1.0</v>
      </c>
      <c r="G8" s="17">
        <f t="shared" si="2"/>
        <v>0</v>
      </c>
      <c r="J8" s="12" t="s">
        <v>9</v>
      </c>
      <c r="K8" s="13">
        <v>15000.0</v>
      </c>
    </row>
    <row r="9">
      <c r="B9" s="18"/>
      <c r="C9" s="10"/>
      <c r="D9" s="15">
        <f t="shared" si="1"/>
        <v>0</v>
      </c>
      <c r="E9" s="10"/>
      <c r="F9" s="16">
        <v>1.0</v>
      </c>
      <c r="G9" s="17">
        <f t="shared" si="2"/>
        <v>0</v>
      </c>
    </row>
    <row r="10">
      <c r="B10" s="19"/>
      <c r="C10" s="20"/>
      <c r="D10" s="20"/>
      <c r="E10" s="20"/>
      <c r="F10" s="20"/>
      <c r="G10" s="10"/>
    </row>
    <row r="11">
      <c r="B11" s="21" t="s">
        <v>10</v>
      </c>
      <c r="C11" s="10"/>
      <c r="D11" s="21" t="s">
        <v>11</v>
      </c>
      <c r="E11" s="10"/>
      <c r="F11" s="22" t="s">
        <v>12</v>
      </c>
      <c r="G11" s="22" t="s">
        <v>13</v>
      </c>
    </row>
    <row r="12">
      <c r="B12" s="23">
        <f>TODAY()</f>
        <v>45428</v>
      </c>
      <c r="C12" s="10"/>
      <c r="D12" s="24">
        <f>SUM(G6:G9)</f>
        <v>172000</v>
      </c>
      <c r="E12" s="10"/>
      <c r="F12" s="25">
        <f>D12*B15/100</f>
        <v>22360</v>
      </c>
      <c r="G12" s="25">
        <f>D12+F12</f>
        <v>194360</v>
      </c>
    </row>
    <row r="13">
      <c r="B13" s="26"/>
      <c r="G13" s="27"/>
    </row>
    <row r="14">
      <c r="B14" s="28" t="s">
        <v>14</v>
      </c>
      <c r="D14" s="29"/>
      <c r="G14" s="27"/>
    </row>
    <row r="15">
      <c r="B15" s="30">
        <v>13.0</v>
      </c>
      <c r="C15" s="31"/>
      <c r="D15" s="5"/>
      <c r="E15" s="5"/>
      <c r="F15" s="5"/>
      <c r="G15" s="6"/>
    </row>
    <row r="18">
      <c r="F18" s="12" t="s">
        <v>15</v>
      </c>
    </row>
  </sheetData>
  <mergeCells count="22">
    <mergeCell ref="B2:G3"/>
    <mergeCell ref="B4:G4"/>
    <mergeCell ref="J4:K4"/>
    <mergeCell ref="B5:C5"/>
    <mergeCell ref="D5:E5"/>
    <mergeCell ref="B6:C6"/>
    <mergeCell ref="D6:E6"/>
    <mergeCell ref="B11:C11"/>
    <mergeCell ref="D11:E11"/>
    <mergeCell ref="B12:C12"/>
    <mergeCell ref="D12:E12"/>
    <mergeCell ref="B13:G13"/>
    <mergeCell ref="B14:C14"/>
    <mergeCell ref="D14:G15"/>
    <mergeCell ref="B15:C15"/>
    <mergeCell ref="B7:C7"/>
    <mergeCell ref="B8:C8"/>
    <mergeCell ref="B9:C9"/>
    <mergeCell ref="B10:G10"/>
    <mergeCell ref="D7:E7"/>
    <mergeCell ref="D8:E8"/>
    <mergeCell ref="D9:E9"/>
  </mergeCells>
  <dataValidations>
    <dataValidation type="list" allowBlank="1" showInputMessage="1" showErrorMessage="1" prompt="Selecciona un Artículo" sqref="B6:B9">
      <formula1>"Impresora,Teclado,Monitor,Mouse"</formula1>
    </dataValidation>
  </dataValidations>
  <drawing r:id="rId1"/>
</worksheet>
</file>