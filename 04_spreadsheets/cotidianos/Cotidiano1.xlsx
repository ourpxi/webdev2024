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4"/>
    <sheet state="visible" name="Presupuesto" sheetId="2" r:id="rId5"/>
    <sheet state="visible" name="Presupuesto familiar" sheetId="3" r:id="rId6"/>
  </sheets>
  <definedNames/>
  <calcPr/>
</workbook>
</file>

<file path=xl/sharedStrings.xml><?xml version="1.0" encoding="utf-8"?>
<sst xmlns="http://schemas.openxmlformats.org/spreadsheetml/2006/main" count="50" uniqueCount="32">
  <si>
    <t>Tabla Del</t>
  </si>
  <si>
    <t>x</t>
  </si>
  <si>
    <t xml:space="preserve"> =</t>
  </si>
  <si>
    <t>Constructions i Promocions</t>
  </si>
  <si>
    <t>Datos del cliente</t>
  </si>
  <si>
    <t>Jose Alfredo Chacón Mora</t>
  </si>
  <si>
    <t>Codigo</t>
  </si>
  <si>
    <t>Nombre</t>
  </si>
  <si>
    <t>Cantidad</t>
  </si>
  <si>
    <t>Precio</t>
  </si>
  <si>
    <t>Subtotal</t>
  </si>
  <si>
    <t>Cemento</t>
  </si>
  <si>
    <t>Ladrillos</t>
  </si>
  <si>
    <t>Clavos 4''</t>
  </si>
  <si>
    <t>Arandelas</t>
  </si>
  <si>
    <t>Varilla</t>
  </si>
  <si>
    <t>Regla 2x3</t>
  </si>
  <si>
    <t>Lamina Play</t>
  </si>
  <si>
    <t>Total</t>
  </si>
  <si>
    <t>Gastos Familiares 2020</t>
  </si>
  <si>
    <t>Enero</t>
  </si>
  <si>
    <t>Febrero</t>
  </si>
  <si>
    <t>Marzo</t>
  </si>
  <si>
    <r>
      <rPr>
        <rFont val="Arial"/>
        <color rgb="FF000000"/>
        <sz val="12.0"/>
      </rPr>
      <t>1</t>
    </r>
    <r>
      <rPr>
        <rFont val="Arial"/>
        <color theme="1"/>
        <sz val="12.0"/>
      </rPr>
      <t>r. Trimestre</t>
    </r>
  </si>
  <si>
    <t>Luz</t>
  </si>
  <si>
    <t>Agua</t>
  </si>
  <si>
    <t>Gas</t>
  </si>
  <si>
    <t>Telefono</t>
  </si>
  <si>
    <t>Credito</t>
  </si>
  <si>
    <t>Comida</t>
  </si>
  <si>
    <t>Varios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</si>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</sst>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₡]#,##0"/>
    <numFmt numFmtId="165" formatCode="[$₡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theme="1"/>
      <name val="Arial"/>
      <scheme val="minor"/>
    </font>
    <font>
      <color rgb="FF000000"/>
      <name val="Arial"/>
    </font>
    <font>
      <b/>
      <sz val="24.0"/>
      <color theme="1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17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horizontal="center" readingOrder="0"/>
    </xf>
    <xf borderId="0" fillId="3" fontId="1" numFmtId="0" xfId="0" applyFont="1"/>
    <xf borderId="1" fillId="4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4" fontId="1" numFmtId="0" xfId="0" applyBorder="1" applyFont="1"/>
    <xf borderId="1" fillId="4" fontId="1" numFmtId="0" xfId="0" applyBorder="1" applyFont="1"/>
    <xf borderId="1" fillId="4" fontId="3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5" fillId="5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readingOrder="0"/>
    </xf>
    <xf borderId="4" fillId="6" fontId="1" numFmtId="0" xfId="0" applyAlignment="1" applyBorder="1" applyFill="1" applyFont="1">
      <alignment horizontal="right" readingOrder="0"/>
    </xf>
    <xf borderId="4" fillId="6" fontId="1" numFmtId="0" xfId="0" applyAlignment="1" applyBorder="1" applyFont="1">
      <alignment horizontal="center" readingOrder="0"/>
    </xf>
    <xf borderId="4" fillId="6" fontId="1" numFmtId="4" xfId="0" applyAlignment="1" applyBorder="1" applyFont="1" applyNumberFormat="1">
      <alignment horizontal="right" readingOrder="0"/>
    </xf>
    <xf borderId="4" fillId="6" fontId="1" numFmtId="164" xfId="0" applyAlignment="1" applyBorder="1" applyFont="1" applyNumberFormat="1">
      <alignment readingOrder="0"/>
    </xf>
    <xf borderId="6" fillId="0" fontId="2" numFmtId="0" xfId="0" applyBorder="1" applyFont="1"/>
    <xf borderId="1" fillId="7" fontId="1" numFmtId="165" xfId="0" applyBorder="1" applyFill="1" applyFont="1" applyNumberFormat="1"/>
    <xf borderId="4" fillId="6" fontId="4" numFmtId="164" xfId="0" applyAlignment="1" applyBorder="1" applyFont="1" applyNumberFormat="1">
      <alignment horizontal="right" readingOrder="0"/>
    </xf>
    <xf borderId="4" fillId="6" fontId="1" numFmtId="0" xfId="0" applyBorder="1" applyFont="1"/>
    <xf borderId="7" fillId="0" fontId="2" numFmtId="0" xfId="0" applyBorder="1" applyFont="1"/>
    <xf borderId="4" fillId="8" fontId="1" numFmtId="0" xfId="0" applyBorder="1" applyFill="1" applyFont="1"/>
    <xf borderId="1" fillId="2" fontId="1" numFmtId="165" xfId="0" applyBorder="1" applyFont="1" applyNumberFormat="1"/>
    <xf borderId="8" fillId="9" fontId="5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10" fontId="1" numFmtId="0" xfId="0" applyBorder="1" applyFill="1" applyFont="1"/>
    <xf borderId="11" fillId="10" fontId="6" numFmtId="0" xfId="0" applyAlignment="1" applyBorder="1" applyFont="1">
      <alignment horizontal="center" readingOrder="0"/>
    </xf>
    <xf borderId="0" fillId="11" fontId="1" numFmtId="0" xfId="0" applyFill="1" applyFont="1"/>
    <xf borderId="12" fillId="10" fontId="6" numFmtId="0" xfId="0" applyAlignment="1" applyBorder="1" applyFont="1">
      <alignment horizontal="center" readingOrder="0"/>
    </xf>
    <xf borderId="13" fillId="0" fontId="2" numFmtId="0" xfId="0" applyBorder="1" applyFont="1"/>
    <xf borderId="11" fillId="12" fontId="7" numFmtId="0" xfId="0" applyAlignment="1" applyBorder="1" applyFill="1" applyFont="1">
      <alignment readingOrder="0"/>
    </xf>
    <xf borderId="11" fillId="12" fontId="1" numFmtId="4" xfId="0" applyAlignment="1" applyBorder="1" applyFont="1" applyNumberFormat="1">
      <alignment readingOrder="0"/>
    </xf>
    <xf borderId="12" fillId="13" fontId="1" numFmtId="4" xfId="0" applyAlignment="1" applyBorder="1" applyFill="1" applyFont="1" applyNumberFormat="1">
      <alignment readingOrder="0"/>
    </xf>
    <xf borderId="14" fillId="11" fontId="1" numFmtId="0" xfId="0" applyBorder="1" applyFont="1"/>
    <xf borderId="8" fillId="11" fontId="1" numFmtId="0" xfId="0" applyBorder="1" applyFont="1"/>
    <xf borderId="11" fillId="12" fontId="6" numFmtId="0" xfId="0" applyAlignment="1" applyBorder="1" applyFont="1">
      <alignment horizontal="center" readingOrder="0"/>
    </xf>
    <xf borderId="11" fillId="13" fontId="1" numFmtId="4" xfId="0" applyBorder="1" applyFont="1" applyNumberFormat="1"/>
    <xf borderId="15" fillId="0" fontId="2" numFmtId="0" xfId="0" applyBorder="1" applyFont="1"/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chacon@cedesdonbosco.ed.c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2.0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3">
        <v>1.0</v>
      </c>
      <c r="B3" s="3" t="s">
        <v>1</v>
      </c>
      <c r="C3" s="3">
        <f>B1</f>
        <v>2</v>
      </c>
      <c r="D3" s="3" t="s">
        <v>2</v>
      </c>
      <c r="E3" s="4">
        <f t="shared" ref="E3:E12" si="1">A3*C3</f>
        <v>2</v>
      </c>
    </row>
    <row r="4">
      <c r="A4" s="3">
        <v>2.0</v>
      </c>
      <c r="B4" s="3" t="s">
        <v>1</v>
      </c>
      <c r="C4" s="3">
        <f>B1</f>
        <v>2</v>
      </c>
      <c r="D4" s="3" t="s">
        <v>2</v>
      </c>
      <c r="E4" s="4">
        <f t="shared" si="1"/>
        <v>4</v>
      </c>
    </row>
    <row r="5">
      <c r="A5" s="3">
        <v>3.0</v>
      </c>
      <c r="B5" s="3" t="s">
        <v>1</v>
      </c>
      <c r="C5" s="3">
        <f>B1</f>
        <v>2</v>
      </c>
      <c r="D5" s="3" t="s">
        <v>2</v>
      </c>
      <c r="E5" s="4">
        <f t="shared" si="1"/>
        <v>6</v>
      </c>
    </row>
    <row r="6">
      <c r="A6" s="3">
        <v>4.0</v>
      </c>
      <c r="B6" s="3" t="s">
        <v>1</v>
      </c>
      <c r="C6" s="3">
        <f>B1</f>
        <v>2</v>
      </c>
      <c r="D6" s="3" t="s">
        <v>2</v>
      </c>
      <c r="E6" s="4">
        <f t="shared" si="1"/>
        <v>8</v>
      </c>
    </row>
    <row r="7">
      <c r="A7" s="3">
        <v>5.0</v>
      </c>
      <c r="B7" s="3" t="s">
        <v>1</v>
      </c>
      <c r="C7" s="3">
        <f>B1</f>
        <v>2</v>
      </c>
      <c r="D7" s="3" t="s">
        <v>2</v>
      </c>
      <c r="E7" s="4">
        <f t="shared" si="1"/>
        <v>10</v>
      </c>
    </row>
    <row r="8">
      <c r="A8" s="3">
        <v>6.0</v>
      </c>
      <c r="B8" s="3" t="s">
        <v>1</v>
      </c>
      <c r="C8" s="3">
        <f>B1</f>
        <v>2</v>
      </c>
      <c r="D8" s="3" t="s">
        <v>2</v>
      </c>
      <c r="E8" s="4">
        <f t="shared" si="1"/>
        <v>12</v>
      </c>
    </row>
    <row r="9">
      <c r="A9" s="3">
        <v>7.0</v>
      </c>
      <c r="B9" s="3" t="s">
        <v>1</v>
      </c>
      <c r="C9" s="3">
        <f>B1</f>
        <v>2</v>
      </c>
      <c r="D9" s="3" t="s">
        <v>2</v>
      </c>
      <c r="E9" s="4">
        <f t="shared" si="1"/>
        <v>14</v>
      </c>
    </row>
    <row r="10">
      <c r="A10" s="3">
        <v>8.0</v>
      </c>
      <c r="B10" s="3" t="s">
        <v>1</v>
      </c>
      <c r="C10" s="3">
        <f>B1</f>
        <v>2</v>
      </c>
      <c r="D10" s="3" t="s">
        <v>2</v>
      </c>
      <c r="E10" s="4">
        <f t="shared" si="1"/>
        <v>16</v>
      </c>
    </row>
    <row r="11">
      <c r="A11" s="3">
        <v>9.0</v>
      </c>
      <c r="B11" s="3" t="s">
        <v>1</v>
      </c>
      <c r="C11" s="3">
        <f>B1</f>
        <v>2</v>
      </c>
      <c r="D11" s="3" t="s">
        <v>2</v>
      </c>
      <c r="E11" s="4">
        <f t="shared" si="1"/>
        <v>18</v>
      </c>
    </row>
    <row r="12">
      <c r="A12" s="3">
        <v>10.0</v>
      </c>
      <c r="B12" s="3" t="s">
        <v>1</v>
      </c>
      <c r="C12" s="3">
        <f>B1</f>
        <v>2</v>
      </c>
      <c r="D12" s="3" t="s">
        <v>2</v>
      </c>
      <c r="E12" s="4">
        <f t="shared" si="1"/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  <c r="B1" s="6"/>
      <c r="C1" s="7"/>
      <c r="D1" s="8"/>
      <c r="E1" s="5" t="s">
        <v>4</v>
      </c>
      <c r="F1" s="6"/>
      <c r="G1" s="7"/>
    </row>
    <row r="2">
      <c r="A2" s="9"/>
      <c r="B2" s="6"/>
      <c r="C2" s="7"/>
      <c r="D2" s="8"/>
      <c r="E2" s="10" t="s">
        <v>5</v>
      </c>
      <c r="F2" s="6"/>
      <c r="G2" s="7"/>
    </row>
    <row r="3">
      <c r="A3" s="11" t="s">
        <v>6</v>
      </c>
      <c r="B3" s="11" t="s">
        <v>7</v>
      </c>
      <c r="C3" s="11" t="s">
        <v>8</v>
      </c>
      <c r="D3" s="11" t="s">
        <v>9</v>
      </c>
      <c r="E3" s="12"/>
      <c r="F3" s="13" t="s">
        <v>10</v>
      </c>
      <c r="G3" s="7"/>
    </row>
    <row r="4">
      <c r="A4" s="14">
        <v>8001.0</v>
      </c>
      <c r="B4" s="15" t="s">
        <v>11</v>
      </c>
      <c r="C4" s="16">
        <v>200.0</v>
      </c>
      <c r="D4" s="17">
        <v>10000.0</v>
      </c>
      <c r="E4" s="18"/>
      <c r="F4" s="19">
        <f t="shared" ref="F4:F12" si="1">C4*D4</f>
        <v>2000000</v>
      </c>
      <c r="G4" s="7"/>
    </row>
    <row r="5">
      <c r="A5" s="14">
        <v>8300.0</v>
      </c>
      <c r="B5" s="15" t="s">
        <v>12</v>
      </c>
      <c r="C5" s="16">
        <v>2345.0</v>
      </c>
      <c r="D5" s="20">
        <v>3224.0</v>
      </c>
      <c r="E5" s="18"/>
      <c r="F5" s="19">
        <f t="shared" si="1"/>
        <v>7560280</v>
      </c>
      <c r="G5" s="7"/>
    </row>
    <row r="6">
      <c r="A6" s="14">
        <v>9001.0</v>
      </c>
      <c r="B6" s="15" t="s">
        <v>13</v>
      </c>
      <c r="C6" s="16">
        <v>4555.0</v>
      </c>
      <c r="D6" s="17">
        <v>233.0</v>
      </c>
      <c r="E6" s="18"/>
      <c r="F6" s="19">
        <f t="shared" si="1"/>
        <v>1061315</v>
      </c>
      <c r="G6" s="7"/>
    </row>
    <row r="7">
      <c r="A7" s="14">
        <v>9554.0</v>
      </c>
      <c r="B7" s="15" t="s">
        <v>14</v>
      </c>
      <c r="C7" s="16">
        <v>4567.0</v>
      </c>
      <c r="D7" s="17">
        <v>23.0</v>
      </c>
      <c r="E7" s="18"/>
      <c r="F7" s="19">
        <f t="shared" si="1"/>
        <v>105041</v>
      </c>
      <c r="G7" s="7"/>
    </row>
    <row r="8">
      <c r="A8" s="14">
        <v>4002.0</v>
      </c>
      <c r="B8" s="15" t="s">
        <v>15</v>
      </c>
      <c r="C8" s="16">
        <v>345.0</v>
      </c>
      <c r="D8" s="17">
        <v>324.0</v>
      </c>
      <c r="E8" s="18"/>
      <c r="F8" s="19">
        <f t="shared" si="1"/>
        <v>111780</v>
      </c>
      <c r="G8" s="7"/>
    </row>
    <row r="9">
      <c r="A9" s="14">
        <v>3002.0</v>
      </c>
      <c r="B9" s="15" t="s">
        <v>16</v>
      </c>
      <c r="C9" s="16">
        <v>3897.0</v>
      </c>
      <c r="D9" s="17">
        <v>23345.0</v>
      </c>
      <c r="E9" s="18"/>
      <c r="F9" s="19">
        <f t="shared" si="1"/>
        <v>90975465</v>
      </c>
      <c r="G9" s="7"/>
    </row>
    <row r="10">
      <c r="A10" s="14">
        <v>2000.0</v>
      </c>
      <c r="B10" s="15" t="s">
        <v>17</v>
      </c>
      <c r="C10" s="16">
        <v>765.0</v>
      </c>
      <c r="D10" s="17">
        <v>2345.0</v>
      </c>
      <c r="E10" s="18"/>
      <c r="F10" s="19">
        <f t="shared" si="1"/>
        <v>1793925</v>
      </c>
      <c r="G10" s="7"/>
    </row>
    <row r="11">
      <c r="A11" s="21"/>
      <c r="B11" s="21"/>
      <c r="C11" s="21"/>
      <c r="D11" s="21"/>
      <c r="E11" s="18"/>
      <c r="F11" s="19">
        <f t="shared" si="1"/>
        <v>0</v>
      </c>
      <c r="G11" s="7"/>
    </row>
    <row r="12">
      <c r="A12" s="21"/>
      <c r="B12" s="21"/>
      <c r="C12" s="21"/>
      <c r="D12" s="21"/>
      <c r="E12" s="22"/>
      <c r="F12" s="19">
        <f t="shared" si="1"/>
        <v>0</v>
      </c>
      <c r="G12" s="7"/>
    </row>
    <row r="13">
      <c r="A13" s="23"/>
      <c r="B13" s="23"/>
      <c r="C13" s="23"/>
      <c r="D13" s="23"/>
      <c r="E13" s="11" t="s">
        <v>18</v>
      </c>
      <c r="F13" s="24">
        <f>SUM(F4:F12)</f>
        <v>103607806</v>
      </c>
      <c r="G13" s="7"/>
    </row>
  </sheetData>
  <mergeCells count="16">
    <mergeCell ref="F13:G13"/>
    <mergeCell ref="F5:G5"/>
    <mergeCell ref="F6:G6"/>
    <mergeCell ref="F7:G7"/>
    <mergeCell ref="F8:G8"/>
    <mergeCell ref="F9:G9"/>
    <mergeCell ref="F10:G10"/>
    <mergeCell ref="F11:G11"/>
    <mergeCell ref="F12:G12"/>
    <mergeCell ref="E1:G1"/>
    <mergeCell ref="A1:C1"/>
    <mergeCell ref="E2:G2"/>
    <mergeCell ref="A2:C2"/>
    <mergeCell ref="F3:G3"/>
    <mergeCell ref="F4:G4"/>
    <mergeCell ref="E3:E12"/>
  </mergeCells>
  <hyperlinks>
    <hyperlink r:id="rId1" ref="E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19</v>
      </c>
      <c r="B1" s="26"/>
      <c r="C1" s="26"/>
      <c r="D1" s="26"/>
      <c r="E1" s="26"/>
      <c r="F1" s="26"/>
      <c r="G1" s="27"/>
    </row>
    <row r="2">
      <c r="G2" s="28"/>
    </row>
    <row r="3">
      <c r="G3" s="28"/>
    </row>
    <row r="4">
      <c r="A4" s="29"/>
      <c r="B4" s="30" t="s">
        <v>20</v>
      </c>
      <c r="C4" s="30" t="s">
        <v>21</v>
      </c>
      <c r="D4" s="30" t="s">
        <v>22</v>
      </c>
      <c r="E4" s="31"/>
      <c r="F4" s="32" t="s">
        <v>23</v>
      </c>
      <c r="G4" s="33"/>
    </row>
    <row r="5">
      <c r="A5" s="34" t="s">
        <v>24</v>
      </c>
      <c r="B5" s="35">
        <v>54686.21</v>
      </c>
      <c r="C5" s="35">
        <v>45875.0</v>
      </c>
      <c r="D5" s="35">
        <v>78525.0</v>
      </c>
      <c r="F5" s="36">
        <f t="shared" ref="F5:F11" si="1">SUM(B5:D5)</f>
        <v>179086.21</v>
      </c>
      <c r="G5" s="33"/>
    </row>
    <row r="6">
      <c r="A6" s="34" t="s">
        <v>25</v>
      </c>
      <c r="B6" s="35">
        <v>23354.88</v>
      </c>
      <c r="C6" s="35">
        <v>30354.0</v>
      </c>
      <c r="D6" s="35">
        <v>35687.0</v>
      </c>
      <c r="F6" s="36">
        <f t="shared" si="1"/>
        <v>89395.88</v>
      </c>
      <c r="G6" s="33"/>
    </row>
    <row r="7">
      <c r="A7" s="34" t="s">
        <v>26</v>
      </c>
      <c r="B7" s="35">
        <v>5670.0</v>
      </c>
      <c r="C7" s="35">
        <v>4530.0</v>
      </c>
      <c r="D7" s="35">
        <v>6700.0</v>
      </c>
      <c r="F7" s="36">
        <f t="shared" si="1"/>
        <v>16900</v>
      </c>
      <c r="G7" s="33"/>
    </row>
    <row r="8">
      <c r="A8" s="34" t="s">
        <v>27</v>
      </c>
      <c r="B8" s="35">
        <v>3042.0</v>
      </c>
      <c r="C8" s="35">
        <v>2009.0</v>
      </c>
      <c r="D8" s="35">
        <v>2240.0</v>
      </c>
      <c r="F8" s="36">
        <f t="shared" si="1"/>
        <v>7291</v>
      </c>
      <c r="G8" s="33"/>
    </row>
    <row r="9">
      <c r="A9" s="34" t="s">
        <v>28</v>
      </c>
      <c r="B9" s="35">
        <v>59897.5</v>
      </c>
      <c r="C9" s="35">
        <v>57892.0</v>
      </c>
      <c r="D9" s="35">
        <v>45000.2</v>
      </c>
      <c r="F9" s="36">
        <f t="shared" si="1"/>
        <v>162789.7</v>
      </c>
      <c r="G9" s="33"/>
    </row>
    <row r="10">
      <c r="A10" s="34" t="s">
        <v>29</v>
      </c>
      <c r="B10" s="35">
        <v>108250.75</v>
      </c>
      <c r="C10" s="35">
        <v>97560.45</v>
      </c>
      <c r="D10" s="35">
        <v>89450.35</v>
      </c>
      <c r="F10" s="36">
        <f t="shared" si="1"/>
        <v>295261.55</v>
      </c>
      <c r="G10" s="33"/>
    </row>
    <row r="11">
      <c r="A11" s="34" t="s">
        <v>30</v>
      </c>
      <c r="B11" s="35">
        <v>42531.22</v>
      </c>
      <c r="C11" s="35">
        <v>27245.3</v>
      </c>
      <c r="D11" s="35">
        <v>28900.75</v>
      </c>
      <c r="F11" s="36">
        <f t="shared" si="1"/>
        <v>98677.27</v>
      </c>
      <c r="G11" s="33"/>
    </row>
    <row r="12">
      <c r="A12" s="37"/>
      <c r="F12" s="38"/>
      <c r="G12" s="27"/>
    </row>
    <row r="13">
      <c r="A13" s="39" t="s">
        <v>31</v>
      </c>
      <c r="B13" s="40">
        <f t="shared" ref="B13:D13" si="2">SUM(B5:B11)</f>
        <v>297432.56</v>
      </c>
      <c r="C13" s="40">
        <f t="shared" si="2"/>
        <v>265465.75</v>
      </c>
      <c r="D13" s="40">
        <f t="shared" si="2"/>
        <v>286503.3</v>
      </c>
      <c r="E13" s="41"/>
      <c r="F13" s="41"/>
      <c r="G13" s="42"/>
    </row>
  </sheetData>
  <mergeCells count="12">
    <mergeCell ref="A12:D12"/>
    <mergeCell ref="F8:G8"/>
    <mergeCell ref="F9:G9"/>
    <mergeCell ref="F10:G10"/>
    <mergeCell ref="F11:G11"/>
    <mergeCell ref="F4:G4"/>
    <mergeCell ref="F5:G5"/>
    <mergeCell ref="A1:G3"/>
    <mergeCell ref="F12:G13"/>
    <mergeCell ref="E4:E13"/>
    <mergeCell ref="F6:G6"/>
    <mergeCell ref="F7:G7"/>
  </mergeCells>
  <drawing r:id="rId1"/>
</worksheet>
</file>